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7B752D16-C9A0-42C4-B938-3764C79E8520}" xr6:coauthVersionLast="47" xr6:coauthVersionMax="47" xr10:uidLastSave="{00000000-0000-0000-0000-000000000000}"/>
  <bookViews>
    <workbookView xWindow="-108" yWindow="-108" windowWidth="23256" windowHeight="12576" xr2:uid="{D7FD0AF2-1814-4BCF-AD35-26D83BCF2FC9}"/>
  </bookViews>
  <sheets>
    <sheet name="Pivot Report" sheetId="1" r:id="rId1"/>
    <sheet name="Dashboard" sheetId="2" r:id="rId2"/>
    <sheet name="Daily ER No of Patient" sheetId="3" r:id="rId3"/>
    <sheet name="Daily ER Patient Wait Time" sheetId="4" r:id="rId4"/>
    <sheet name="Daily Patient Satisfaction Scor" sheetId="5" r:id="rId5"/>
  </sheets>
  <definedNames>
    <definedName name="Slicer_Date__Month">#N/A</definedName>
    <definedName name="Slicer_Date__Year">#N/A</definedName>
  </definedNames>
  <calcPr calcId="191029"/>
  <pivotCaches>
    <pivotCache cacheId="851" r:id="rId6"/>
    <pivotCache cacheId="854" r:id="rId7"/>
    <pivotCache cacheId="857" r:id="rId8"/>
    <pivotCache cacheId="860" r:id="rId9"/>
    <pivotCache cacheId="863" r:id="rId10"/>
    <pivotCache cacheId="866" r:id="rId11"/>
    <pivotCache cacheId="869" r:id="rId12"/>
    <pivotCache cacheId="872" r:id="rId13"/>
    <pivotCache cacheId="875" r:id="rId14"/>
    <pivotCache cacheId="878" r:id="rId15"/>
    <pivotCache cacheId="881" r:id="rId16"/>
    <pivotCache cacheId="884" r:id="rId17"/>
  </pivotCaches>
  <extLst>
    <ext xmlns:x14="http://schemas.microsoft.com/office/spreadsheetml/2009/9/main" uri="{876F7934-8845-4945-9796-88D515C7AA90}">
      <x14:pivotCaches>
        <pivotCache cacheId="628"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5ae530d-8cb9-4dd9-9f1c-86456a373ff1" name="Hospital Emergency Room Data" connection="Query - Hospital Emergency Room Data"/>
          <x15:modelTable id="Calender-Table_065f91e8-855c-4ec1-a6f5-d1d8d394b036" name="Calender-Table" connection="Query - Calender-Table"/>
        </x15:modelTables>
        <x15:modelRelationships>
          <x15:modelRelationship fromTable="Hospital Emergency Room Data" fromColumn="Patient Admission Date" toTable="Calender-Table" toColumn="Date"/>
        </x15:modelRelationships>
        <x15:extLst>
          <ext xmlns:x16="http://schemas.microsoft.com/office/spreadsheetml/2014/11/main" uri="{9835A34E-60A6-4A7C-AAB8-D5F71C897F49}">
            <x16:modelTimeGroupings>
              <x16:modelTimeGrouping tableName="Calender-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0" i="1" l="1"/>
  <c r="C49" i="1"/>
  <c r="D49" i="1"/>
  <c r="C50" i="1"/>
  <c r="B49" i="1"/>
  <c r="B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EEDD25-42AB-4EA0-8FE4-3ABA0FD5EEAB}" name="Query - Calender-Table" description="Connection to the 'Calender-Table' query in the workbook." type="100" refreshedVersion="7" minRefreshableVersion="5">
    <extLst>
      <ext xmlns:x15="http://schemas.microsoft.com/office/spreadsheetml/2010/11/main" uri="{DE250136-89BD-433C-8126-D09CA5730AF9}">
        <x15:connection id="95938cfe-dde9-4a96-b689-c63b5ca17e25"/>
      </ext>
    </extLst>
  </connection>
  <connection id="2" xr16:uid="{7A689879-3895-4CBC-BD14-1A067EF4AE50}"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00cf0931-2bd8-43b1-9ee0-0bcc73a8424e"/>
      </ext>
    </extLst>
  </connection>
  <connection id="3" xr16:uid="{87EF94E0-CCEA-4C25-ACB7-ABF4206FE447}"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<sst xmlns="http://schemas.openxmlformats.org/spreadsheetml/2006/main" count="159" uniqueCount="78">
  <si>
    <t>Count of Patient Id</t>
  </si>
  <si>
    <t>Average of Patient Waittime</t>
  </si>
  <si>
    <t>Average of Patient Satisfaction Score</t>
  </si>
  <si>
    <t>Row Labels</t>
  </si>
  <si>
    <t>Grand Total</t>
  </si>
  <si>
    <t>Daily Trends Of No. Of Patients</t>
  </si>
  <si>
    <t>Average Patient Wait Time</t>
  </si>
  <si>
    <t xml:space="preserve">                                       Daily Trend Spark line Area chart of ER Patient Wait Time</t>
  </si>
  <si>
    <t>Daily Trend of Sparkline Area chart for The Er No of Patient</t>
  </si>
  <si>
    <t>Use an area chart to show trend, spot drops satisfaction &amp; linked them to busy times or challenges</t>
  </si>
  <si>
    <t>Satisfaction Score Daily Trend</t>
  </si>
  <si>
    <t>Sum of Patient Satisfaction Score</t>
  </si>
  <si>
    <t>Count of Patient Admission Flag</t>
  </si>
  <si>
    <t>Admitted</t>
  </si>
  <si>
    <t>Not Admitted</t>
  </si>
  <si>
    <t>Count of Patient Admission Flag2</t>
  </si>
  <si>
    <t>Admission Status</t>
  </si>
  <si>
    <t>%Status</t>
  </si>
  <si>
    <t>Patient</t>
  </si>
  <si>
    <t>Count of Group Age</t>
  </si>
  <si>
    <t>0-9</t>
  </si>
  <si>
    <t>10-19</t>
  </si>
  <si>
    <t>20-29</t>
  </si>
  <si>
    <t>30-39</t>
  </si>
  <si>
    <t>40-49</t>
  </si>
  <si>
    <t>50-59</t>
  </si>
  <si>
    <t>60-69</t>
  </si>
  <si>
    <t>70-79</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</si>
  <si>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</si>
  <si>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</si>
  <si>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</si>
  <si>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</si>
  <si>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</si>
  <si>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</si>
  <si>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</si>
  <si>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</si>
  <si>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</si>
  <si>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</si>
  <si>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</si>
  <si>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</si>
  <si>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</si>
  <si>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</si>
  <si>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</si>
  <si>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</si>
  <si>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</si>
  <si>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</si>
  <si>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</si>
  <si>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</si>
  <si>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</si>
  <si>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</si>
  <si>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</si>
  <si>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</si>
  <si>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</si>
  <si>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</si>
  <si>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</si>
  <si>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</si>
  <si>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</si>
  <si>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</si>
  <si>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</si>
  <si>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Age Group Wise Analysis</t>
  </si>
  <si>
    <t>Delay</t>
  </si>
  <si>
    <t>Ontime</t>
  </si>
  <si>
    <t>Female</t>
  </si>
  <si>
    <t>Male</t>
  </si>
  <si>
    <t>Count of Patient Gender</t>
  </si>
  <si>
    <t>Patient Attend wait Time</t>
  </si>
  <si>
    <t>Patient Gender</t>
  </si>
  <si>
    <t>Department Referral</t>
  </si>
  <si>
    <t>Count of Department Referral</t>
  </si>
  <si>
    <t>Cardiology</t>
  </si>
  <si>
    <t>Gastroenterology</t>
  </si>
  <si>
    <t>General Practice</t>
  </si>
  <si>
    <t>Neurology</t>
  </si>
  <si>
    <t>None</t>
  </si>
  <si>
    <t>Orthopedics</t>
  </si>
  <si>
    <t>Physiotherapy</t>
  </si>
  <si>
    <t>Renal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</si>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</sst>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Red]0.00"/>
  </numFmts>
  <fonts count="5" x14ac:knownFonts="1">
    <font>
      <sz val="11"/>
      <color theme="1"/>
      <name val="Calibri"/>
      <family val="2"/>
      <scheme val="minor"/>
    </font>
    <font>
      <b/>
      <sz val="14"/>
      <color theme="1"/>
      <name val="Calibri"/>
      <family val="2"/>
      <scheme val="minor"/>
    </font>
    <font>
      <sz val="14"/>
      <color theme="1"/>
      <name val="Calibri"/>
      <family val="2"/>
      <scheme val="minor"/>
    </font>
    <font>
      <sz val="18"/>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7E87F8"/>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NumberFormat="1" applyFont="1"/>
    <xf numFmtId="2" fontId="1" fillId="0" borderId="0" xfId="0" applyNumberFormat="1" applyFont="1"/>
    <xf numFmtId="0" fontId="0" fillId="0" borderId="0" xfId="0" pivotButton="1"/>
    <xf numFmtId="0" fontId="0" fillId="0" borderId="0" xfId="0" applyAlignment="1">
      <alignment horizontal="left"/>
    </xf>
    <xf numFmtId="164" fontId="1" fillId="0" borderId="0" xfId="0" applyNumberFormat="1" applyFont="1"/>
    <xf numFmtId="0" fontId="0" fillId="2" borderId="0" xfId="0" applyFill="1" applyBorder="1"/>
    <xf numFmtId="0" fontId="2" fillId="2" borderId="0" xfId="0" applyFont="1" applyFill="1" applyBorder="1"/>
    <xf numFmtId="0" fontId="0" fillId="2" borderId="0" xfId="0" applyFill="1"/>
    <xf numFmtId="0" fontId="2" fillId="2" borderId="0" xfId="0" applyFont="1" applyFill="1"/>
    <xf numFmtId="0" fontId="3" fillId="2" borderId="0" xfId="0" applyFont="1" applyFill="1" applyBorder="1"/>
    <xf numFmtId="1" fontId="1" fillId="0" borderId="0" xfId="0" applyNumberFormat="1" applyFont="1"/>
    <xf numFmtId="10" fontId="1" fillId="0" borderId="0" xfId="0" applyNumberFormat="1" applyFont="1"/>
    <xf numFmtId="0" fontId="0" fillId="3" borderId="0" xfId="0" applyFill="1" applyAlignment="1">
      <alignment horizontal="center"/>
    </xf>
    <xf numFmtId="10" fontId="0" fillId="3" borderId="0" xfId="0" applyNumberFormat="1" applyFill="1" applyAlignment="1">
      <alignment horizontal="center"/>
    </xf>
    <xf numFmtId="0" fontId="0" fillId="3" borderId="0" xfId="0" applyFill="1"/>
    <xf numFmtId="0" fontId="4" fillId="4" borderId="0" xfId="0" applyFont="1" applyFill="1" applyAlignment="1">
      <alignment horizontal="center"/>
    </xf>
    <xf numFmtId="0" fontId="0" fillId="4" borderId="0" xfId="0" applyFill="1"/>
  </cellXfs>
  <cellStyles count="1">
    <cellStyle name="Normal" xfId="0" builtinId="0"/>
  </cellStyles>
  <dxfs count="50">
    <dxf>
      <numFmt numFmtId="2" formatCode="0.00"/>
    </dxf>
    <dxf>
      <font>
        <b/>
      </font>
    </dxf>
    <dxf>
      <font>
        <sz val="14"/>
      </font>
    </dxf>
    <dxf>
      <numFmt numFmtId="2" formatCode="0.00"/>
    </dxf>
    <dxf>
      <font>
        <b/>
      </font>
    </dxf>
    <dxf>
      <font>
        <sz val="14"/>
      </font>
    </dxf>
    <dxf>
      <numFmt numFmtId="1" formatCode="0"/>
    </dxf>
    <dxf>
      <numFmt numFmtId="2" formatCode="0.00"/>
    </dxf>
    <dxf>
      <font>
        <b/>
      </font>
    </dxf>
    <dxf>
      <font>
        <sz val="14"/>
      </font>
    </dxf>
    <dxf>
      <numFmt numFmtId="2" formatCode="0.00"/>
    </dxf>
    <dxf>
      <font>
        <b/>
      </font>
    </dxf>
    <dxf>
      <font>
        <sz val="14"/>
      </font>
    </dxf>
    <dxf>
      <numFmt numFmtId="2" formatCode="0.00"/>
    </dxf>
    <dxf>
      <font>
        <b/>
      </font>
    </dxf>
    <dxf>
      <font>
        <sz val="14"/>
      </font>
    </dxf>
    <dxf>
      <numFmt numFmtId="1" formatCode="0"/>
    </dxf>
    <dxf>
      <numFmt numFmtId="1" formatCode="0"/>
    </dxf>
    <dxf>
      <numFmt numFmtId="2" formatCode="0.00"/>
    </dxf>
    <dxf>
      <font>
        <b/>
      </font>
    </dxf>
    <dxf>
      <font>
        <sz val="14"/>
      </font>
    </dxf>
    <dxf>
      <numFmt numFmtId="1" formatCode="0"/>
    </dxf>
    <dxf>
      <numFmt numFmtId="14" formatCode="0.00%"/>
    </dxf>
    <dxf>
      <font>
        <b/>
      </font>
    </dxf>
    <dxf>
      <font>
        <sz val="14"/>
      </font>
    </dxf>
    <dxf>
      <numFmt numFmtId="164" formatCode="0.00;[Red]0.00"/>
    </dxf>
    <dxf>
      <numFmt numFmtId="164" formatCode="0.00;[Red]0.00"/>
    </dxf>
    <dxf>
      <numFmt numFmtId="164" formatCode="0.00;[Red]0.00"/>
    </dxf>
    <dxf>
      <font>
        <b/>
      </font>
    </dxf>
    <dxf>
      <font>
        <sz val="14"/>
      </font>
    </dxf>
    <dxf>
      <numFmt numFmtId="164" formatCode="0.00;[Red]0.00"/>
    </dxf>
    <dxf>
      <numFmt numFmtId="164" formatCode="0.00;[Red]0.00"/>
    </dxf>
    <dxf>
      <numFmt numFmtId="164" formatCode="0.00;[Red]0.00"/>
    </dxf>
    <dxf>
      <numFmt numFmtId="2" formatCode="0.00"/>
    </dxf>
    <dxf>
      <font>
        <b/>
      </font>
    </dxf>
    <dxf>
      <font>
        <sz val="14"/>
      </font>
    </dxf>
    <dxf>
      <numFmt numFmtId="2" formatCode="0.00"/>
    </dxf>
    <dxf>
      <font>
        <b/>
      </font>
    </dxf>
    <dxf>
      <font>
        <sz val="14"/>
      </font>
    </dxf>
    <dxf>
      <font>
        <b/>
      </font>
    </dxf>
    <dxf>
      <font>
        <sz val="14"/>
      </font>
    </dxf>
    <dxf>
      <font>
        <b/>
      </font>
    </dxf>
    <dxf>
      <font>
        <sz val="14"/>
      </font>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6"/>
        </bottom>
        <vertical/>
        <horizontal/>
      </border>
    </dxf>
    <dxf>
      <font>
        <sz val="12"/>
        <color theme="1"/>
      </font>
      <fill>
        <patternFill>
          <bgColor theme="0" tint="-4.9989318521683403E-2"/>
        </patternFill>
      </fill>
      <border diagonalUp="0" diagonalDown="0">
        <left/>
        <right/>
        <top/>
        <bottom/>
        <vertical/>
        <horizontal/>
      </border>
    </dxf>
    <dxf>
      <font>
        <sz val="8"/>
      </font>
      <fill>
        <patternFill>
          <bgColor theme="0"/>
        </patternFill>
      </fill>
    </dxf>
  </dxfs>
  <tableStyles count="4" defaultTableStyle="TableStyleMedium2" defaultPivotStyle="PivotStyleLight16">
    <tableStyle name="My style" pivot="0" table="0" count="1" xr9:uid="{53F55944-92C9-46CD-919F-1AA0D7E9E9F3}">
      <tableStyleElement type="wholeTable" dxfId="49"/>
    </tableStyle>
    <tableStyle name="My style-2" pivot="0" table="0" count="10" xr9:uid="{50EA0846-C2C6-4DF9-B09F-C95CC7A1FA0F}">
      <tableStyleElement type="wholeTable" dxfId="48"/>
      <tableStyleElement type="headerRow" dxfId="47"/>
    </tableStyle>
    <tableStyle name="SlicerStyleLight1 2" pivot="0" table="0" count="10" xr9:uid="{AC987655-EAA5-483C-8835-06A702D95E60}">
      <tableStyleElement type="wholeTable" dxfId="46"/>
      <tableStyleElement type="headerRow" dxfId="45"/>
    </tableStyle>
    <tableStyle name="SlicerStyleLight2 2" pivot="0" table="0" count="10" xr9:uid="{81CADF23-1D1E-420C-A7D2-588C77EE6F19}">
      <tableStyleElement type="wholeTable" dxfId="44"/>
      <tableStyleElement type="headerRow" dxfId="43"/>
    </tableStyle>
  </tableStyles>
  <colors>
    <mruColors>
      <color rgb="FF7E87F8"/>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 name="My style-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Project.xlsx]Pivot Report!PivotTable5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95974B-98ED-453B-A08F-86BF9DEC427B}" type="CELLRANGE">
                  <a:rPr lang="en-US" sz="800"/>
                  <a:pPr>
                    <a:defRPr sz="9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6756157598944202"/>
                  <c:h val="0.36003584229390678"/>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8A46848-4FF1-483F-939D-BB76E5F1B5B6}" type="CELLRANGE">
                  <a:rPr lang="en-US" sz="800"/>
                  <a:pPr>
                    <a:defRPr sz="900"/>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5814538013256816"/>
                  <c:h val="0.36003584229390678"/>
                </c:manualLayout>
              </c15:layout>
              <c15:dlblFieldTable/>
              <c15:showDataLabelsRange val="1"/>
            </c:ext>
          </c:extLst>
        </c:dLbl>
      </c:pivotFmt>
    </c:pivotFmts>
    <c:plotArea>
      <c:layout>
        <c:manualLayout>
          <c:layoutTarget val="inner"/>
          <c:xMode val="edge"/>
          <c:yMode val="edge"/>
          <c:x val="1.322132268677683E-2"/>
          <c:y val="9.481627296587929E-3"/>
          <c:w val="0.9068627450980391"/>
          <c:h val="0.83030064423765193"/>
        </c:manualLayout>
      </c:layout>
      <c:barChart>
        <c:barDir val="bar"/>
        <c:grouping val="clustered"/>
        <c:varyColors val="0"/>
        <c:ser>
          <c:idx val="0"/>
          <c:order val="0"/>
          <c:tx>
            <c:strRef>
              <c:f>'Pivot Report'!$D$42:$D$43</c:f>
              <c:strCache>
                <c:ptCount val="1"/>
                <c:pt idx="0">
                  <c:v>Count of Patient Admission Flag</c:v>
                </c:pt>
              </c:strCache>
            </c:strRef>
          </c:tx>
          <c:spPr>
            <a:solidFill>
              <a:schemeClr val="accent1"/>
            </a:solidFill>
            <a:ln>
              <a:noFill/>
            </a:ln>
            <a:effectLst/>
          </c:spPr>
          <c:invertIfNegative val="0"/>
          <c:dLbls>
            <c:dLbl>
              <c:idx val="0"/>
              <c:tx>
                <c:rich>
                  <a:bodyPr/>
                  <a:lstStyle/>
                  <a:p>
                    <a:fld id="{7495974B-98ED-453B-A08F-86BF9DEC427B}" type="CELLRANGE">
                      <a:rPr lang="en-US" sz="800"/>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26756157598944202"/>
                      <c:h val="0.36003584229390678"/>
                    </c:manualLayout>
                  </c15:layout>
                  <c15:dlblFieldTable/>
                  <c15:showDataLabelsRange val="1"/>
                </c:ext>
                <c:ext xmlns:c16="http://schemas.microsoft.com/office/drawing/2014/chart" uri="{C3380CC4-5D6E-409C-BE32-E72D297353CC}">
                  <c16:uniqueId val="{00000003-D792-48FD-BD8F-39A9C04DB44A}"/>
                </c:ext>
              </c:extLst>
            </c:dLbl>
            <c:dLbl>
              <c:idx val="1"/>
              <c:tx>
                <c:rich>
                  <a:bodyPr/>
                  <a:lstStyle/>
                  <a:p>
                    <a:fld id="{C8A46848-4FF1-483F-939D-BB76E5F1B5B6}" type="CELLRANGE">
                      <a:rPr lang="en-US" sz="800"/>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25814538013256816"/>
                      <c:h val="0.36003584229390678"/>
                    </c:manualLayout>
                  </c15:layout>
                  <c15:dlblFieldTable/>
                  <c15:showDataLabelsRange val="1"/>
                </c:ext>
                <c:ext xmlns:c16="http://schemas.microsoft.com/office/drawing/2014/chart" uri="{C3380CC4-5D6E-409C-BE32-E72D297353CC}">
                  <c16:uniqueId val="{00000004-D792-48FD-BD8F-39A9C04DB44A}"/>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Report'!$D$42:$D$43</c:f>
              <c:strCache>
                <c:ptCount val="2"/>
                <c:pt idx="0">
                  <c:v>Admitted</c:v>
                </c:pt>
                <c:pt idx="1">
                  <c:v>Not Admitted</c:v>
                </c:pt>
              </c:strCache>
            </c:strRef>
          </c:cat>
          <c:val>
            <c:numRef>
              <c:f>'Pivot Report'!$D$42:$D$43</c:f>
              <c:numCache>
                <c:formatCode>0</c:formatCode>
                <c:ptCount val="2"/>
                <c:pt idx="0">
                  <c:v>266</c:v>
                </c:pt>
                <c:pt idx="1">
                  <c:v>222</c:v>
                </c:pt>
              </c:numCache>
            </c:numRef>
          </c:val>
          <c:extLst>
            <c:ext xmlns:c15="http://schemas.microsoft.com/office/drawing/2012/chart" uri="{02D57815-91ED-43cb-92C2-25804820EDAC}">
              <c15:datalabelsRange>
                <c15:f>'Pivot Report'!$D$42:$D$43</c15:f>
                <c15:dlblRangeCache>
                  <c:ptCount val="2"/>
                  <c:pt idx="0">
                    <c:v>54.51%</c:v>
                  </c:pt>
                  <c:pt idx="1">
                    <c:v>45.49%</c:v>
                  </c:pt>
                </c15:dlblRangeCache>
              </c15:datalabelsRange>
            </c:ext>
            <c:ext xmlns:c16="http://schemas.microsoft.com/office/drawing/2014/chart" uri="{C3380CC4-5D6E-409C-BE32-E72D297353CC}">
              <c16:uniqueId val="{00000000-D792-48FD-BD8F-39A9C04DB44A}"/>
            </c:ext>
          </c:extLst>
        </c:ser>
        <c:ser>
          <c:idx val="1"/>
          <c:order val="1"/>
          <c:tx>
            <c:strRef>
              <c:f>'Pivot Report'!$D$42:$D$43</c:f>
              <c:strCache>
                <c:ptCount val="1"/>
                <c:pt idx="0">
                  <c:v>Count of Patient Admission Flag2</c:v>
                </c:pt>
              </c:strCache>
            </c:strRef>
          </c:tx>
          <c:spPr>
            <a:solidFill>
              <a:schemeClr val="accent2"/>
            </a:solidFill>
            <a:ln>
              <a:noFill/>
            </a:ln>
            <a:effectLst/>
          </c:spPr>
          <c:invertIfNegative val="0"/>
          <c:cat>
            <c:strRef>
              <c:f>'Pivot Report'!$D$42:$D$43</c:f>
              <c:strCache>
                <c:ptCount val="2"/>
                <c:pt idx="0">
                  <c:v>Admitted</c:v>
                </c:pt>
                <c:pt idx="1">
                  <c:v>Not Admitted</c:v>
                </c:pt>
              </c:strCache>
            </c:strRef>
          </c:cat>
          <c:val>
            <c:numRef>
              <c:f>'Pivot Report'!$D$42:$D$43</c:f>
              <c:numCache>
                <c:formatCode>0.00%</c:formatCode>
                <c:ptCount val="2"/>
                <c:pt idx="0">
                  <c:v>0.54508196721311475</c:v>
                </c:pt>
                <c:pt idx="1">
                  <c:v>0.45491803278688525</c:v>
                </c:pt>
              </c:numCache>
            </c:numRef>
          </c:val>
          <c:extLst>
            <c:ext xmlns:c16="http://schemas.microsoft.com/office/drawing/2014/chart" uri="{C3380CC4-5D6E-409C-BE32-E72D297353CC}">
              <c16:uniqueId val="{00000001-D792-48FD-BD8F-39A9C04DB44A}"/>
            </c:ext>
          </c:extLst>
        </c:ser>
        <c:dLbls>
          <c:showLegendKey val="0"/>
          <c:showVal val="0"/>
          <c:showCatName val="0"/>
          <c:showSerName val="0"/>
          <c:showPercent val="0"/>
          <c:showBubbleSize val="0"/>
        </c:dLbls>
        <c:gapWidth val="0"/>
        <c:axId val="865982208"/>
        <c:axId val="865978464"/>
      </c:barChart>
      <c:catAx>
        <c:axId val="865982208"/>
        <c:scaling>
          <c:orientation val="minMax"/>
        </c:scaling>
        <c:delete val="1"/>
        <c:axPos val="l"/>
        <c:numFmt formatCode="General" sourceLinked="1"/>
        <c:majorTickMark val="out"/>
        <c:minorTickMark val="none"/>
        <c:tickLblPos val="nextTo"/>
        <c:crossAx val="865978464"/>
        <c:crosses val="autoZero"/>
        <c:auto val="1"/>
        <c:lblAlgn val="ctr"/>
        <c:lblOffset val="100"/>
        <c:noMultiLvlLbl val="0"/>
      </c:catAx>
      <c:valAx>
        <c:axId val="865978464"/>
        <c:scaling>
          <c:orientation val="minMax"/>
        </c:scaling>
        <c:delete val="1"/>
        <c:axPos val="b"/>
        <c:numFmt formatCode="0" sourceLinked="1"/>
        <c:majorTickMark val="out"/>
        <c:minorTickMark val="none"/>
        <c:tickLblPos val="nextTo"/>
        <c:crossAx val="865982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Project.xlsx]Pivot Report!PivotTable4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763788021642925E-2"/>
          <c:y val="8.3932853717026384E-2"/>
          <c:w val="0.91331757289204096"/>
          <c:h val="0.55350483022082975"/>
        </c:manualLayout>
      </c:layout>
      <c:areaChart>
        <c:grouping val="standard"/>
        <c:varyColors val="0"/>
        <c:ser>
          <c:idx val="0"/>
          <c:order val="0"/>
          <c:tx>
            <c:strRef>
              <c:f>'Pivot Report'!$G$5</c:f>
              <c:strCache>
                <c:ptCount val="1"/>
                <c:pt idx="0">
                  <c:v>Total</c:v>
                </c:pt>
              </c:strCache>
            </c:strRef>
          </c:tx>
          <c:spPr>
            <a:solidFill>
              <a:schemeClr val="accent1"/>
            </a:solidFill>
            <a:ln>
              <a:noFill/>
            </a:ln>
            <a:effectLst/>
          </c:spPr>
          <c:cat>
            <c:strRef>
              <c:f>'Pivot Report'!$F$6:$F$37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Report'!$G$6:$G$37</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474E-402D-B47D-FBA56D0E2DA3}"/>
            </c:ext>
          </c:extLst>
        </c:ser>
        <c:dLbls>
          <c:showLegendKey val="0"/>
          <c:showVal val="0"/>
          <c:showCatName val="0"/>
          <c:showSerName val="0"/>
          <c:showPercent val="0"/>
          <c:showBubbleSize val="0"/>
        </c:dLbls>
        <c:axId val="2124395823"/>
        <c:axId val="2124396239"/>
      </c:areaChart>
      <c:catAx>
        <c:axId val="2124395823"/>
        <c:scaling>
          <c:orientation val="minMax"/>
        </c:scaling>
        <c:delete val="1"/>
        <c:axPos val="b"/>
        <c:numFmt formatCode="General" sourceLinked="1"/>
        <c:majorTickMark val="out"/>
        <c:minorTickMark val="none"/>
        <c:tickLblPos val="nextTo"/>
        <c:crossAx val="2124396239"/>
        <c:crosses val="autoZero"/>
        <c:auto val="1"/>
        <c:lblAlgn val="ctr"/>
        <c:lblOffset val="100"/>
        <c:noMultiLvlLbl val="0"/>
      </c:catAx>
      <c:valAx>
        <c:axId val="2124396239"/>
        <c:scaling>
          <c:orientation val="minMax"/>
        </c:scaling>
        <c:delete val="1"/>
        <c:axPos val="l"/>
        <c:numFmt formatCode="General" sourceLinked="1"/>
        <c:majorTickMark val="out"/>
        <c:minorTickMark val="none"/>
        <c:tickLblPos val="nextTo"/>
        <c:crossAx val="21243958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Project.xlsx]Pivot Report!PivotTable7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038071365646755E-3"/>
          <c:y val="5.0524934383202099E-3"/>
          <c:w val="0.969558599695586"/>
          <c:h val="0.83190381800327806"/>
        </c:manualLayout>
      </c:layout>
      <c:areaChart>
        <c:grouping val="standard"/>
        <c:varyColors val="0"/>
        <c:ser>
          <c:idx val="0"/>
          <c:order val="0"/>
          <c:tx>
            <c:strRef>
              <c:f>'Pivot Report'!$J$5</c:f>
              <c:strCache>
                <c:ptCount val="1"/>
                <c:pt idx="0">
                  <c:v>Total</c:v>
                </c:pt>
              </c:strCache>
            </c:strRef>
          </c:tx>
          <c:spPr>
            <a:solidFill>
              <a:schemeClr val="accent1"/>
            </a:solidFill>
            <a:ln>
              <a:noFill/>
            </a:ln>
            <a:effectLst/>
          </c:spPr>
          <c:cat>
            <c:strRef>
              <c:f>'Pivot Report'!$I$6:$I$37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Report'!$J$6:$J$37</c:f>
              <c:numCache>
                <c:formatCode>General</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ACF0-49C5-B1E8-46C2B79C10A2}"/>
            </c:ext>
          </c:extLst>
        </c:ser>
        <c:dLbls>
          <c:showLegendKey val="0"/>
          <c:showVal val="0"/>
          <c:showCatName val="0"/>
          <c:showSerName val="0"/>
          <c:showPercent val="0"/>
          <c:showBubbleSize val="0"/>
        </c:dLbls>
        <c:axId val="1606284607"/>
        <c:axId val="1606279199"/>
      </c:areaChart>
      <c:catAx>
        <c:axId val="1606284607"/>
        <c:scaling>
          <c:orientation val="minMax"/>
        </c:scaling>
        <c:delete val="1"/>
        <c:axPos val="b"/>
        <c:numFmt formatCode="General" sourceLinked="1"/>
        <c:majorTickMark val="out"/>
        <c:minorTickMark val="none"/>
        <c:tickLblPos val="nextTo"/>
        <c:crossAx val="1606279199"/>
        <c:crosses val="autoZero"/>
        <c:auto val="1"/>
        <c:lblAlgn val="ctr"/>
        <c:lblOffset val="100"/>
        <c:noMultiLvlLbl val="0"/>
      </c:catAx>
      <c:valAx>
        <c:axId val="1606279199"/>
        <c:scaling>
          <c:orientation val="minMax"/>
        </c:scaling>
        <c:delete val="1"/>
        <c:axPos val="l"/>
        <c:numFmt formatCode="General" sourceLinked="1"/>
        <c:majorTickMark val="out"/>
        <c:minorTickMark val="none"/>
        <c:tickLblPos val="nextTo"/>
        <c:crossAx val="16062846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Project.xlsx]Pivot Report!PivotTable8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82947646811325E-3"/>
          <c:y val="2.2328458942632173E-2"/>
          <c:w val="0.96938033607867968"/>
          <c:h val="0.79699308419780845"/>
        </c:manualLayout>
      </c:layout>
      <c:areaChart>
        <c:grouping val="standard"/>
        <c:varyColors val="0"/>
        <c:ser>
          <c:idx val="0"/>
          <c:order val="0"/>
          <c:tx>
            <c:strRef>
              <c:f>'Pivot Report'!$N$5</c:f>
              <c:strCache>
                <c:ptCount val="1"/>
                <c:pt idx="0">
                  <c:v>Total</c:v>
                </c:pt>
              </c:strCache>
            </c:strRef>
          </c:tx>
          <c:spPr>
            <a:solidFill>
              <a:schemeClr val="accent1"/>
            </a:solidFill>
            <a:ln>
              <a:noFill/>
            </a:ln>
            <a:effectLst/>
          </c:spPr>
          <c:cat>
            <c:strRef>
              <c:f>'Pivot Report'!$M$6:$M$37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Report'!$N$6:$N$37</c:f>
              <c:numCache>
                <c:formatCode>General</c:formatCode>
                <c:ptCount val="31"/>
                <c:pt idx="0">
                  <c:v>33</c:v>
                </c:pt>
                <c:pt idx="1">
                  <c:v>16</c:v>
                </c:pt>
                <c:pt idx="2">
                  <c:v>19</c:v>
                </c:pt>
                <c:pt idx="3">
                  <c:v>8</c:v>
                </c:pt>
                <c:pt idx="4">
                  <c:v>32</c:v>
                </c:pt>
                <c:pt idx="5">
                  <c:v>7</c:v>
                </c:pt>
                <c:pt idx="6">
                  <c:v>14</c:v>
                </c:pt>
                <c:pt idx="7">
                  <c:v>28</c:v>
                </c:pt>
                <c:pt idx="8">
                  <c:v>32</c:v>
                </c:pt>
                <c:pt idx="9">
                  <c:v>14</c:v>
                </c:pt>
                <c:pt idx="10">
                  <c:v>39</c:v>
                </c:pt>
                <c:pt idx="11">
                  <c:v>37</c:v>
                </c:pt>
                <c:pt idx="12">
                  <c:v>13</c:v>
                </c:pt>
                <c:pt idx="13">
                  <c:v>15</c:v>
                </c:pt>
                <c:pt idx="14">
                  <c:v>13</c:v>
                </c:pt>
                <c:pt idx="15">
                  <c:v>10</c:v>
                </c:pt>
                <c:pt idx="16">
                  <c:v>18</c:v>
                </c:pt>
                <c:pt idx="17">
                  <c:v>15</c:v>
                </c:pt>
                <c:pt idx="18">
                  <c:v>25</c:v>
                </c:pt>
                <c:pt idx="19">
                  <c:v>30</c:v>
                </c:pt>
                <c:pt idx="20">
                  <c:v>14</c:v>
                </c:pt>
                <c:pt idx="21">
                  <c:v>15</c:v>
                </c:pt>
                <c:pt idx="22">
                  <c:v>13</c:v>
                </c:pt>
                <c:pt idx="23">
                  <c:v>14</c:v>
                </c:pt>
                <c:pt idx="24">
                  <c:v>18</c:v>
                </c:pt>
                <c:pt idx="25">
                  <c:v>6</c:v>
                </c:pt>
                <c:pt idx="26">
                  <c:v>62</c:v>
                </c:pt>
                <c:pt idx="27">
                  <c:v>46</c:v>
                </c:pt>
                <c:pt idx="28">
                  <c:v>41</c:v>
                </c:pt>
                <c:pt idx="29">
                  <c:v>25</c:v>
                </c:pt>
                <c:pt idx="30">
                  <c:v>27</c:v>
                </c:pt>
              </c:numCache>
            </c:numRef>
          </c:val>
          <c:extLst>
            <c:ext xmlns:c16="http://schemas.microsoft.com/office/drawing/2014/chart" uri="{C3380CC4-5D6E-409C-BE32-E72D297353CC}">
              <c16:uniqueId val="{00000000-B5B8-4717-95AA-588DC30BA445}"/>
            </c:ext>
          </c:extLst>
        </c:ser>
        <c:dLbls>
          <c:showLegendKey val="0"/>
          <c:showVal val="0"/>
          <c:showCatName val="0"/>
          <c:showSerName val="0"/>
          <c:showPercent val="0"/>
          <c:showBubbleSize val="0"/>
        </c:dLbls>
        <c:axId val="849314703"/>
        <c:axId val="849313455"/>
      </c:areaChart>
      <c:catAx>
        <c:axId val="849314703"/>
        <c:scaling>
          <c:orientation val="minMax"/>
        </c:scaling>
        <c:delete val="1"/>
        <c:axPos val="b"/>
        <c:numFmt formatCode="General" sourceLinked="1"/>
        <c:majorTickMark val="out"/>
        <c:minorTickMark val="none"/>
        <c:tickLblPos val="nextTo"/>
        <c:crossAx val="849313455"/>
        <c:crosses val="autoZero"/>
        <c:auto val="1"/>
        <c:lblAlgn val="ctr"/>
        <c:lblOffset val="100"/>
        <c:noMultiLvlLbl val="0"/>
      </c:catAx>
      <c:valAx>
        <c:axId val="849313455"/>
        <c:scaling>
          <c:orientation val="minMax"/>
        </c:scaling>
        <c:delete val="1"/>
        <c:axPos val="l"/>
        <c:numFmt formatCode="General" sourceLinked="1"/>
        <c:majorTickMark val="out"/>
        <c:minorTickMark val="none"/>
        <c:tickLblPos val="nextTo"/>
        <c:crossAx val="849314703"/>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Project.xlsx]Pivot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840010607482362E-2"/>
          <c:y val="9.9290780141843976E-2"/>
          <c:w val="0.93888888888888888"/>
          <c:h val="0.74238398391690419"/>
        </c:manualLayout>
      </c:layout>
      <c:barChart>
        <c:barDir val="col"/>
        <c:grouping val="clustered"/>
        <c:varyColors val="0"/>
        <c:ser>
          <c:idx val="0"/>
          <c:order val="0"/>
          <c:tx>
            <c:strRef>
              <c:f>'Pivot Report'!$C$55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Report'!$B$56:$B$64</c:f>
              <c:strCache>
                <c:ptCount val="8"/>
                <c:pt idx="0">
                  <c:v>0-9</c:v>
                </c:pt>
                <c:pt idx="1">
                  <c:v>10-19</c:v>
                </c:pt>
                <c:pt idx="2">
                  <c:v>20-29</c:v>
                </c:pt>
                <c:pt idx="3">
                  <c:v>30-39</c:v>
                </c:pt>
                <c:pt idx="4">
                  <c:v>40-49</c:v>
                </c:pt>
                <c:pt idx="5">
                  <c:v>50-59</c:v>
                </c:pt>
                <c:pt idx="6">
                  <c:v>60-69</c:v>
                </c:pt>
                <c:pt idx="7">
                  <c:v>70-79</c:v>
                </c:pt>
              </c:strCache>
            </c:strRef>
          </c:cat>
          <c:val>
            <c:numRef>
              <c:f>'Pivot Report'!$C$56:$C$64</c:f>
              <c:numCache>
                <c:formatCode>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0-D069-431D-BF5C-05EE63A858BE}"/>
            </c:ext>
          </c:extLst>
        </c:ser>
        <c:dLbls>
          <c:showLegendKey val="0"/>
          <c:showVal val="0"/>
          <c:showCatName val="0"/>
          <c:showSerName val="0"/>
          <c:showPercent val="0"/>
          <c:showBubbleSize val="0"/>
        </c:dLbls>
        <c:gapWidth val="219"/>
        <c:overlap val="-27"/>
        <c:axId val="951174848"/>
        <c:axId val="951156960"/>
      </c:barChart>
      <c:catAx>
        <c:axId val="95117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51156960"/>
        <c:crosses val="autoZero"/>
        <c:auto val="1"/>
        <c:lblAlgn val="ctr"/>
        <c:lblOffset val="100"/>
        <c:noMultiLvlLbl val="0"/>
      </c:catAx>
      <c:valAx>
        <c:axId val="951156960"/>
        <c:scaling>
          <c:orientation val="minMax"/>
        </c:scaling>
        <c:delete val="1"/>
        <c:axPos val="l"/>
        <c:numFmt formatCode="0" sourceLinked="1"/>
        <c:majorTickMark val="none"/>
        <c:minorTickMark val="none"/>
        <c:tickLblPos val="nextTo"/>
        <c:crossAx val="95117484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Project.xlsx]Pivot Report!PivotTable9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manualLayout>
          <c:layoutTarget val="inner"/>
          <c:xMode val="edge"/>
          <c:yMode val="edge"/>
          <c:x val="0.17393523020777782"/>
          <c:y val="0.15155427846400715"/>
          <c:w val="0.65081929499848379"/>
          <c:h val="0.77419736040103992"/>
        </c:manualLayout>
      </c:layout>
      <c:pieChart>
        <c:varyColors val="1"/>
        <c:ser>
          <c:idx val="0"/>
          <c:order val="0"/>
          <c:tx>
            <c:strRef>
              <c:f>'Pivot Report'!$C$70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735-4675-8247-8D25ABA9E1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735-4675-8247-8D25ABA9E1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Report'!$B$71:$B$73</c:f>
              <c:strCache>
                <c:ptCount val="2"/>
                <c:pt idx="0">
                  <c:v>Delay</c:v>
                </c:pt>
                <c:pt idx="1">
                  <c:v>Ontime</c:v>
                </c:pt>
              </c:strCache>
            </c:strRef>
          </c:cat>
          <c:val>
            <c:numRef>
              <c:f>'Pivot Report'!$C$71:$C$73</c:f>
              <c:numCache>
                <c:formatCode>0.00</c:formatCode>
                <c:ptCount val="2"/>
                <c:pt idx="0">
                  <c:v>288</c:v>
                </c:pt>
                <c:pt idx="1">
                  <c:v>200</c:v>
                </c:pt>
              </c:numCache>
            </c:numRef>
          </c:val>
          <c:extLst>
            <c:ext xmlns:c16="http://schemas.microsoft.com/office/drawing/2014/chart" uri="{C3380CC4-5D6E-409C-BE32-E72D297353CC}">
              <c16:uniqueId val="{00000004-3735-4675-8247-8D25ABA9E1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4397898093316847"/>
          <c:y val="1.8620243559602439E-2"/>
          <c:w val="0.50015129823648075"/>
          <c:h val="0.180990813648293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Project.xlsx]Pivot Report!PivotTable10</c:name>
    <c:fmtId val="1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118591594969548"/>
          <c:y val="0.16129044296003284"/>
          <c:w val="0.58319574040029132"/>
          <c:h val="0.7685656491777425"/>
        </c:manualLayout>
      </c:layout>
      <c:doughnutChart>
        <c:varyColors val="1"/>
        <c:ser>
          <c:idx val="0"/>
          <c:order val="0"/>
          <c:tx>
            <c:strRef>
              <c:f>'Pivot Report'!$C$76</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E36A-4B44-8A6D-8B7701F16699}"/>
              </c:ext>
            </c:extLst>
          </c:dPt>
          <c:dPt>
            <c:idx val="1"/>
            <c:bubble3D val="0"/>
            <c:spPr>
              <a:solidFill>
                <a:schemeClr val="accent2"/>
              </a:solidFill>
              <a:ln>
                <a:noFill/>
              </a:ln>
              <a:effectLst/>
            </c:spPr>
            <c:extLst>
              <c:ext xmlns:c16="http://schemas.microsoft.com/office/drawing/2014/chart" uri="{C3380CC4-5D6E-409C-BE32-E72D297353CC}">
                <c16:uniqueId val="{00000003-E36A-4B44-8A6D-8B7701F166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Report'!$B$77:$B$79</c:f>
              <c:strCache>
                <c:ptCount val="2"/>
                <c:pt idx="0">
                  <c:v>Female</c:v>
                </c:pt>
                <c:pt idx="1">
                  <c:v>Male</c:v>
                </c:pt>
              </c:strCache>
            </c:strRef>
          </c:cat>
          <c:val>
            <c:numRef>
              <c:f>'Pivot Report'!$C$77:$C$79</c:f>
              <c:numCache>
                <c:formatCode>0.00</c:formatCode>
                <c:ptCount val="2"/>
                <c:pt idx="0">
                  <c:v>232</c:v>
                </c:pt>
                <c:pt idx="1">
                  <c:v>256</c:v>
                </c:pt>
              </c:numCache>
            </c:numRef>
          </c:val>
          <c:extLst>
            <c:ext xmlns:c16="http://schemas.microsoft.com/office/drawing/2014/chart" uri="{C3380CC4-5D6E-409C-BE32-E72D297353CC}">
              <c16:uniqueId val="{00000004-E36A-4B44-8A6D-8B7701F16699}"/>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19854173633701197"/>
          <c:y val="5.0749462004453225E-2"/>
          <c:w val="0.56979803200275636"/>
          <c:h val="0.116510554664079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26402076578664"/>
          <c:y val="5.1415545713035873E-2"/>
          <c:w val="0.73931096450781486"/>
          <c:h val="0.86713959706085686"/>
        </c:manualLayout>
      </c:layout>
      <c:barChart>
        <c:barDir val="bar"/>
        <c:grouping val="clustered"/>
        <c:varyColors val="0"/>
        <c:ser>
          <c:idx val="0"/>
          <c:order val="0"/>
          <c:tx>
            <c:strRef>
              <c:f>'Pivot Report'!$C$82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Report'!$B$83:$B$91</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Report'!$C$83:$C$91</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0-42A9-431F-BC63-ABB1B85810FB}"/>
            </c:ext>
          </c:extLst>
        </c:ser>
        <c:dLbls>
          <c:showLegendKey val="0"/>
          <c:showVal val="0"/>
          <c:showCatName val="0"/>
          <c:showSerName val="0"/>
          <c:showPercent val="0"/>
          <c:showBubbleSize val="0"/>
        </c:dLbls>
        <c:gapWidth val="147"/>
        <c:axId val="951162784"/>
        <c:axId val="951156960"/>
      </c:barChart>
      <c:catAx>
        <c:axId val="95116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156960"/>
        <c:crosses val="autoZero"/>
        <c:auto val="1"/>
        <c:lblAlgn val="ctr"/>
        <c:lblOffset val="100"/>
        <c:noMultiLvlLbl val="0"/>
      </c:catAx>
      <c:valAx>
        <c:axId val="9511569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16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Project.xlsx]Pivot Report!PivotTable4</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02916207135352E-2"/>
          <c:y val="3.1330889673273597E-2"/>
          <c:w val="0.91558439559875859"/>
          <c:h val="0.66094614679189201"/>
        </c:manualLayout>
      </c:layout>
      <c:areaChart>
        <c:grouping val="stacked"/>
        <c:varyColors val="0"/>
        <c:ser>
          <c:idx val="0"/>
          <c:order val="0"/>
          <c:tx>
            <c:strRef>
              <c:f>'Pivot Report'!$G$5</c:f>
              <c:strCache>
                <c:ptCount val="1"/>
                <c:pt idx="0">
                  <c:v>Total</c:v>
                </c:pt>
              </c:strCache>
            </c:strRef>
          </c:tx>
          <c:spPr>
            <a:solidFill>
              <a:schemeClr val="accent1">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Report'!$F$6:$F$37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Report'!$G$6:$G$37</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2F40-4062-8347-0FA42CA85522}"/>
            </c:ext>
          </c:extLst>
        </c:ser>
        <c:dLbls>
          <c:showLegendKey val="0"/>
          <c:showVal val="1"/>
          <c:showCatName val="0"/>
          <c:showSerName val="0"/>
          <c:showPercent val="0"/>
          <c:showBubbleSize val="0"/>
        </c:dLbls>
        <c:axId val="2124395823"/>
        <c:axId val="2124396239"/>
      </c:areaChart>
      <c:catAx>
        <c:axId val="21243958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4396239"/>
        <c:crosses val="autoZero"/>
        <c:auto val="1"/>
        <c:lblAlgn val="ctr"/>
        <c:lblOffset val="100"/>
        <c:noMultiLvlLbl val="0"/>
      </c:catAx>
      <c:valAx>
        <c:axId val="212439623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243958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Project.xlsx]Pivot Report!PivotTable7</c:name>
    <c:fmtId val="1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63398041831884E-2"/>
          <c:y val="5.563507899904014E-2"/>
          <c:w val="0.95477031178277605"/>
          <c:h val="0.83190381800327806"/>
        </c:manualLayout>
      </c:layout>
      <c:areaChart>
        <c:grouping val="standard"/>
        <c:varyColors val="0"/>
        <c:ser>
          <c:idx val="0"/>
          <c:order val="0"/>
          <c:tx>
            <c:strRef>
              <c:f>'Pivot Report'!$J$5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Report'!$I$6:$I$37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Report'!$J$6:$J$37</c:f>
              <c:numCache>
                <c:formatCode>General</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106D-437E-B7FD-CA02B94BBA3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06284607"/>
        <c:axId val="1606279199"/>
      </c:areaChart>
      <c:catAx>
        <c:axId val="16062846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1606279199"/>
        <c:crosses val="autoZero"/>
        <c:auto val="1"/>
        <c:lblAlgn val="ctr"/>
        <c:lblOffset val="100"/>
        <c:noMultiLvlLbl val="0"/>
      </c:catAx>
      <c:valAx>
        <c:axId val="1606279199"/>
        <c:scaling>
          <c:orientation val="minMax"/>
        </c:scaling>
        <c:delete val="1"/>
        <c:axPos val="l"/>
        <c:numFmt formatCode="General" sourceLinked="1"/>
        <c:majorTickMark val="out"/>
        <c:minorTickMark val="none"/>
        <c:tickLblPos val="nextTo"/>
        <c:crossAx val="16062846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Excel Project.xlsx]Pivot Report!PivotTable8</c:name>
    <c:fmtId val="2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Report'!$M$6:$M$37</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Report'!$N$6:$N$37</c:f>
              <c:numCache>
                <c:formatCode>General</c:formatCode>
                <c:ptCount val="31"/>
                <c:pt idx="0">
                  <c:v>33</c:v>
                </c:pt>
                <c:pt idx="1">
                  <c:v>16</c:v>
                </c:pt>
                <c:pt idx="2">
                  <c:v>19</c:v>
                </c:pt>
                <c:pt idx="3">
                  <c:v>8</c:v>
                </c:pt>
                <c:pt idx="4">
                  <c:v>32</c:v>
                </c:pt>
                <c:pt idx="5">
                  <c:v>7</c:v>
                </c:pt>
                <c:pt idx="6">
                  <c:v>14</c:v>
                </c:pt>
                <c:pt idx="7">
                  <c:v>28</c:v>
                </c:pt>
                <c:pt idx="8">
                  <c:v>32</c:v>
                </c:pt>
                <c:pt idx="9">
                  <c:v>14</c:v>
                </c:pt>
                <c:pt idx="10">
                  <c:v>39</c:v>
                </c:pt>
                <c:pt idx="11">
                  <c:v>37</c:v>
                </c:pt>
                <c:pt idx="12">
                  <c:v>13</c:v>
                </c:pt>
                <c:pt idx="13">
                  <c:v>15</c:v>
                </c:pt>
                <c:pt idx="14">
                  <c:v>13</c:v>
                </c:pt>
                <c:pt idx="15">
                  <c:v>10</c:v>
                </c:pt>
                <c:pt idx="16">
                  <c:v>18</c:v>
                </c:pt>
                <c:pt idx="17">
                  <c:v>15</c:v>
                </c:pt>
                <c:pt idx="18">
                  <c:v>25</c:v>
                </c:pt>
                <c:pt idx="19">
                  <c:v>30</c:v>
                </c:pt>
                <c:pt idx="20">
                  <c:v>14</c:v>
                </c:pt>
                <c:pt idx="21">
                  <c:v>15</c:v>
                </c:pt>
                <c:pt idx="22">
                  <c:v>13</c:v>
                </c:pt>
                <c:pt idx="23">
                  <c:v>14</c:v>
                </c:pt>
                <c:pt idx="24">
                  <c:v>18</c:v>
                </c:pt>
                <c:pt idx="25">
                  <c:v>6</c:v>
                </c:pt>
                <c:pt idx="26">
                  <c:v>62</c:v>
                </c:pt>
                <c:pt idx="27">
                  <c:v>46</c:v>
                </c:pt>
                <c:pt idx="28">
                  <c:v>41</c:v>
                </c:pt>
                <c:pt idx="29">
                  <c:v>25</c:v>
                </c:pt>
                <c:pt idx="30">
                  <c:v>27</c:v>
                </c:pt>
              </c:numCache>
            </c:numRef>
          </c:val>
          <c:extLst>
            <c:ext xmlns:c16="http://schemas.microsoft.com/office/drawing/2014/chart" uri="{C3380CC4-5D6E-409C-BE32-E72D297353CC}">
              <c16:uniqueId val="{00000000-32DE-438B-B0A8-C853C30389E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49314703"/>
        <c:axId val="849313455"/>
      </c:areaChart>
      <c:catAx>
        <c:axId val="8493147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849313455"/>
        <c:crosses val="autoZero"/>
        <c:auto val="1"/>
        <c:lblAlgn val="ctr"/>
        <c:lblOffset val="100"/>
        <c:noMultiLvlLbl val="0"/>
      </c:catAx>
      <c:valAx>
        <c:axId val="849313455"/>
        <c:scaling>
          <c:orientation val="minMax"/>
        </c:scaling>
        <c:delete val="1"/>
        <c:axPos val="l"/>
        <c:numFmt formatCode="General" sourceLinked="1"/>
        <c:majorTickMark val="out"/>
        <c:minorTickMark val="none"/>
        <c:tickLblPos val="nextTo"/>
        <c:crossAx val="8493147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Daily Patient Satisfaction Scor'!A1"/><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ily ER Patient Wait Time'!A1"/><Relationship Id="rId5" Type="http://schemas.openxmlformats.org/officeDocument/2006/relationships/image" Target="../media/image5.png"/><Relationship Id="rId15" Type="http://schemas.openxmlformats.org/officeDocument/2006/relationships/image" Target="../media/image9.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Daily ER No of Patien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4.sv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91440</xdr:colOff>
      <xdr:row>47</xdr:row>
      <xdr:rowOff>167640</xdr:rowOff>
    </xdr:from>
    <xdr:to>
      <xdr:col>5</xdr:col>
      <xdr:colOff>76200</xdr:colOff>
      <xdr:row>50</xdr:row>
      <xdr:rowOff>0</xdr:rowOff>
    </xdr:to>
    <xdr:graphicFrame macro="">
      <xdr:nvGraphicFramePr>
        <xdr:cNvPr id="2" name="Chart 1">
          <a:extLst>
            <a:ext uri="{FF2B5EF4-FFF2-40B4-BE49-F238E27FC236}">
              <a16:creationId xmlns:a16="http://schemas.microsoft.com/office/drawing/2014/main" id="{BC0DDE0F-7145-486D-A29B-74D07DBEE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60960</xdr:colOff>
      <xdr:row>0</xdr:row>
      <xdr:rowOff>30480</xdr:rowOff>
    </xdr:from>
    <xdr:to>
      <xdr:col>20</xdr:col>
      <xdr:colOff>388620</xdr:colOff>
      <xdr:row>28</xdr:row>
      <xdr:rowOff>22860</xdr:rowOff>
    </xdr:to>
    <xdr:sp macro="" textlink="">
      <xdr:nvSpPr>
        <xdr:cNvPr id="14" name="Rectangle: Rounded Corners 13">
          <a:extLst>
            <a:ext uri="{FF2B5EF4-FFF2-40B4-BE49-F238E27FC236}">
              <a16:creationId xmlns:a16="http://schemas.microsoft.com/office/drawing/2014/main" id="{17428117-622C-4CB0-86F6-E2CB97E83B9D}"/>
            </a:ext>
          </a:extLst>
        </xdr:cNvPr>
        <xdr:cNvSpPr/>
      </xdr:nvSpPr>
      <xdr:spPr>
        <a:xfrm>
          <a:off x="60960" y="30480"/>
          <a:ext cx="12519660" cy="5113020"/>
        </a:xfrm>
        <a:prstGeom prst="roundRect">
          <a:avLst>
            <a:gd name="adj" fmla="val 0"/>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60960</xdr:colOff>
      <xdr:row>0</xdr:row>
      <xdr:rowOff>15240</xdr:rowOff>
    </xdr:from>
    <xdr:to>
      <xdr:col>9</xdr:col>
      <xdr:colOff>297180</xdr:colOff>
      <xdr:row>3</xdr:row>
      <xdr:rowOff>175260</xdr:rowOff>
    </xdr:to>
    <xdr:sp macro="" textlink="">
      <xdr:nvSpPr>
        <xdr:cNvPr id="15" name="Rectangle: Rounded Corners 14">
          <a:extLst>
            <a:ext uri="{FF2B5EF4-FFF2-40B4-BE49-F238E27FC236}">
              <a16:creationId xmlns:a16="http://schemas.microsoft.com/office/drawing/2014/main" id="{2D0A840E-B91B-4E39-9CC6-A3DC83AEF8D7}"/>
            </a:ext>
          </a:extLst>
        </xdr:cNvPr>
        <xdr:cNvSpPr/>
      </xdr:nvSpPr>
      <xdr:spPr>
        <a:xfrm>
          <a:off x="60960" y="15240"/>
          <a:ext cx="5722620" cy="708660"/>
        </a:xfrm>
        <a:prstGeom prst="roundRect">
          <a:avLst>
            <a:gd name="adj" fmla="val 543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327660</xdr:colOff>
      <xdr:row>0</xdr:row>
      <xdr:rowOff>30480</xdr:rowOff>
    </xdr:from>
    <xdr:to>
      <xdr:col>12</xdr:col>
      <xdr:colOff>502920</xdr:colOff>
      <xdr:row>4</xdr:row>
      <xdr:rowOff>7620</xdr:rowOff>
    </xdr:to>
    <xdr:sp macro="" textlink="">
      <xdr:nvSpPr>
        <xdr:cNvPr id="16" name="Rectangle: Rounded Corners 15">
          <a:extLst>
            <a:ext uri="{FF2B5EF4-FFF2-40B4-BE49-F238E27FC236}">
              <a16:creationId xmlns:a16="http://schemas.microsoft.com/office/drawing/2014/main" id="{60E884DF-9DB6-48B9-A29F-0FEDC2A97420}"/>
            </a:ext>
          </a:extLst>
        </xdr:cNvPr>
        <xdr:cNvSpPr/>
      </xdr:nvSpPr>
      <xdr:spPr>
        <a:xfrm>
          <a:off x="5814060" y="30480"/>
          <a:ext cx="2004060" cy="708660"/>
        </a:xfrm>
        <a:prstGeom prst="roundRect">
          <a:avLst>
            <a:gd name="adj" fmla="val 680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510540</xdr:colOff>
      <xdr:row>0</xdr:row>
      <xdr:rowOff>22860</xdr:rowOff>
    </xdr:from>
    <xdr:to>
      <xdr:col>16</xdr:col>
      <xdr:colOff>213360</xdr:colOff>
      <xdr:row>9</xdr:row>
      <xdr:rowOff>0</xdr:rowOff>
    </xdr:to>
    <xdr:sp macro="" textlink="">
      <xdr:nvSpPr>
        <xdr:cNvPr id="17" name="Rectangle: Rounded Corners 16">
          <a:extLst>
            <a:ext uri="{FF2B5EF4-FFF2-40B4-BE49-F238E27FC236}">
              <a16:creationId xmlns:a16="http://schemas.microsoft.com/office/drawing/2014/main" id="{0037FCA2-F85B-4981-AE6C-8B07B14E32E8}"/>
            </a:ext>
          </a:extLst>
        </xdr:cNvPr>
        <xdr:cNvSpPr/>
      </xdr:nvSpPr>
      <xdr:spPr>
        <a:xfrm>
          <a:off x="7825740" y="22860"/>
          <a:ext cx="2141220" cy="1623060"/>
        </a:xfrm>
        <a:prstGeom prst="roundRect">
          <a:avLst>
            <a:gd name="adj" fmla="val 619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251460</xdr:colOff>
      <xdr:row>0</xdr:row>
      <xdr:rowOff>22860</xdr:rowOff>
    </xdr:from>
    <xdr:to>
      <xdr:col>19</xdr:col>
      <xdr:colOff>525780</xdr:colOff>
      <xdr:row>9</xdr:row>
      <xdr:rowOff>7620</xdr:rowOff>
    </xdr:to>
    <xdr:sp macro="" textlink="">
      <xdr:nvSpPr>
        <xdr:cNvPr id="18" name="Rectangle: Rounded Corners 17">
          <a:extLst>
            <a:ext uri="{FF2B5EF4-FFF2-40B4-BE49-F238E27FC236}">
              <a16:creationId xmlns:a16="http://schemas.microsoft.com/office/drawing/2014/main" id="{EC30F278-FFCB-4D27-9945-F36D64B9E02A}"/>
            </a:ext>
          </a:extLst>
        </xdr:cNvPr>
        <xdr:cNvSpPr/>
      </xdr:nvSpPr>
      <xdr:spPr>
        <a:xfrm>
          <a:off x="10005060" y="22860"/>
          <a:ext cx="2103120" cy="1630680"/>
        </a:xfrm>
        <a:prstGeom prst="roundRect">
          <a:avLst>
            <a:gd name="adj" fmla="val 5609"/>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45720</xdr:colOff>
      <xdr:row>4</xdr:row>
      <xdr:rowOff>0</xdr:rowOff>
    </xdr:from>
    <xdr:to>
      <xdr:col>5</xdr:col>
      <xdr:colOff>472440</xdr:colOff>
      <xdr:row>10</xdr:row>
      <xdr:rowOff>53340</xdr:rowOff>
    </xdr:to>
    <xdr:sp macro="" textlink="" fLocksText="0">
      <xdr:nvSpPr>
        <xdr:cNvPr id="20" name="Rectangle: Rounded Corners 19">
          <a:extLst>
            <a:ext uri="{FF2B5EF4-FFF2-40B4-BE49-F238E27FC236}">
              <a16:creationId xmlns:a16="http://schemas.microsoft.com/office/drawing/2014/main" id="{89B751B9-77F9-4ACC-BBE1-D78553C12FEA}"/>
            </a:ext>
          </a:extLst>
        </xdr:cNvPr>
        <xdr:cNvSpPr/>
      </xdr:nvSpPr>
      <xdr:spPr>
        <a:xfrm>
          <a:off x="1264920" y="731520"/>
          <a:ext cx="2255520" cy="1150620"/>
        </a:xfrm>
        <a:prstGeom prst="roundRect">
          <a:avLst>
            <a:gd name="adj" fmla="val 607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68580</xdr:colOff>
      <xdr:row>4</xdr:row>
      <xdr:rowOff>30480</xdr:rowOff>
    </xdr:from>
    <xdr:to>
      <xdr:col>2</xdr:col>
      <xdr:colOff>0</xdr:colOff>
      <xdr:row>26</xdr:row>
      <xdr:rowOff>152400</xdr:rowOff>
    </xdr:to>
    <xdr:sp macro="" textlink="">
      <xdr:nvSpPr>
        <xdr:cNvPr id="23" name="Rectangle: Rounded Corners 22">
          <a:extLst>
            <a:ext uri="{FF2B5EF4-FFF2-40B4-BE49-F238E27FC236}">
              <a16:creationId xmlns:a16="http://schemas.microsoft.com/office/drawing/2014/main" id="{29A1D5C5-BBAC-42B6-BB5B-680B8D1BB22D}"/>
            </a:ext>
          </a:extLst>
        </xdr:cNvPr>
        <xdr:cNvSpPr/>
      </xdr:nvSpPr>
      <xdr:spPr>
        <a:xfrm>
          <a:off x="68580" y="762000"/>
          <a:ext cx="1150620" cy="4145280"/>
        </a:xfrm>
        <a:prstGeom prst="roundRect">
          <a:avLst>
            <a:gd name="adj" fmla="val 607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510540</xdr:colOff>
      <xdr:row>4</xdr:row>
      <xdr:rowOff>7620</xdr:rowOff>
    </xdr:from>
    <xdr:to>
      <xdr:col>9</xdr:col>
      <xdr:colOff>259080</xdr:colOff>
      <xdr:row>10</xdr:row>
      <xdr:rowOff>60960</xdr:rowOff>
    </xdr:to>
    <xdr:sp macro="" textlink="">
      <xdr:nvSpPr>
        <xdr:cNvPr id="24" name="Rectangle: Rounded Corners 23">
          <a:extLst>
            <a:ext uri="{FF2B5EF4-FFF2-40B4-BE49-F238E27FC236}">
              <a16:creationId xmlns:a16="http://schemas.microsoft.com/office/drawing/2014/main" id="{9F0B42E4-BF62-4854-84F7-3A15DD3DD5CC}"/>
            </a:ext>
          </a:extLst>
        </xdr:cNvPr>
        <xdr:cNvSpPr/>
      </xdr:nvSpPr>
      <xdr:spPr>
        <a:xfrm>
          <a:off x="3558540" y="739140"/>
          <a:ext cx="2186940" cy="1150620"/>
        </a:xfrm>
        <a:prstGeom prst="roundRect">
          <a:avLst>
            <a:gd name="adj" fmla="val 607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297180</xdr:colOff>
      <xdr:row>4</xdr:row>
      <xdr:rowOff>22860</xdr:rowOff>
    </xdr:from>
    <xdr:to>
      <xdr:col>12</xdr:col>
      <xdr:colOff>487680</xdr:colOff>
      <xdr:row>10</xdr:row>
      <xdr:rowOff>68580</xdr:rowOff>
    </xdr:to>
    <xdr:sp macro="" textlink="">
      <xdr:nvSpPr>
        <xdr:cNvPr id="25" name="Rectangle: Rounded Corners 24">
          <a:extLst>
            <a:ext uri="{FF2B5EF4-FFF2-40B4-BE49-F238E27FC236}">
              <a16:creationId xmlns:a16="http://schemas.microsoft.com/office/drawing/2014/main" id="{43E671AA-CE78-42AF-B316-8387BD95BECD}"/>
            </a:ext>
          </a:extLst>
        </xdr:cNvPr>
        <xdr:cNvSpPr/>
      </xdr:nvSpPr>
      <xdr:spPr>
        <a:xfrm>
          <a:off x="5783580" y="754380"/>
          <a:ext cx="2019300" cy="1143000"/>
        </a:xfrm>
        <a:prstGeom prst="roundRect">
          <a:avLst>
            <a:gd name="adj" fmla="val 607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45720</xdr:colOff>
      <xdr:row>10</xdr:row>
      <xdr:rowOff>76200</xdr:rowOff>
    </xdr:from>
    <xdr:to>
      <xdr:col>12</xdr:col>
      <xdr:colOff>502920</xdr:colOff>
      <xdr:row>14</xdr:row>
      <xdr:rowOff>160020</xdr:rowOff>
    </xdr:to>
    <xdr:sp macro="" textlink="">
      <xdr:nvSpPr>
        <xdr:cNvPr id="26" name="Rectangle: Rounded Corners 25">
          <a:extLst>
            <a:ext uri="{FF2B5EF4-FFF2-40B4-BE49-F238E27FC236}">
              <a16:creationId xmlns:a16="http://schemas.microsoft.com/office/drawing/2014/main" id="{93BCE74A-2249-46B4-90AF-3A33765C11AA}"/>
            </a:ext>
          </a:extLst>
        </xdr:cNvPr>
        <xdr:cNvSpPr/>
      </xdr:nvSpPr>
      <xdr:spPr>
        <a:xfrm>
          <a:off x="1264920" y="1905000"/>
          <a:ext cx="6553200" cy="815340"/>
        </a:xfrm>
        <a:prstGeom prst="roundRect">
          <a:avLst>
            <a:gd name="adj" fmla="val 607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30480</xdr:colOff>
      <xdr:row>14</xdr:row>
      <xdr:rowOff>152400</xdr:rowOff>
    </xdr:from>
    <xdr:to>
      <xdr:col>12</xdr:col>
      <xdr:colOff>525780</xdr:colOff>
      <xdr:row>27</xdr:row>
      <xdr:rowOff>7620</xdr:rowOff>
    </xdr:to>
    <xdr:sp macro="" textlink="">
      <xdr:nvSpPr>
        <xdr:cNvPr id="27" name="Rectangle: Rounded Corners 26">
          <a:extLst>
            <a:ext uri="{FF2B5EF4-FFF2-40B4-BE49-F238E27FC236}">
              <a16:creationId xmlns:a16="http://schemas.microsoft.com/office/drawing/2014/main" id="{BEF1D4CA-4017-4108-8A07-A62AC78F2BA3}"/>
            </a:ext>
          </a:extLst>
        </xdr:cNvPr>
        <xdr:cNvSpPr/>
      </xdr:nvSpPr>
      <xdr:spPr>
        <a:xfrm>
          <a:off x="1249680" y="2712720"/>
          <a:ext cx="6591300" cy="2232660"/>
        </a:xfrm>
        <a:prstGeom prst="roundRect">
          <a:avLst>
            <a:gd name="adj" fmla="val 607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533400</xdr:colOff>
      <xdr:row>9</xdr:row>
      <xdr:rowOff>30480</xdr:rowOff>
    </xdr:from>
    <xdr:to>
      <xdr:col>19</xdr:col>
      <xdr:colOff>525780</xdr:colOff>
      <xdr:row>27</xdr:row>
      <xdr:rowOff>22860</xdr:rowOff>
    </xdr:to>
    <xdr:sp macro="" textlink="">
      <xdr:nvSpPr>
        <xdr:cNvPr id="35" name="Rectangle: Rounded Corners 34">
          <a:extLst>
            <a:ext uri="{FF2B5EF4-FFF2-40B4-BE49-F238E27FC236}">
              <a16:creationId xmlns:a16="http://schemas.microsoft.com/office/drawing/2014/main" id="{EC853386-76AC-444B-88EA-BB8989B3F6E7}"/>
            </a:ext>
          </a:extLst>
        </xdr:cNvPr>
        <xdr:cNvSpPr/>
      </xdr:nvSpPr>
      <xdr:spPr>
        <a:xfrm>
          <a:off x="7848600" y="1676400"/>
          <a:ext cx="4259580" cy="3284220"/>
        </a:xfrm>
        <a:prstGeom prst="roundRect">
          <a:avLst>
            <a:gd name="adj" fmla="val 271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ffectLst>
              <a:glow rad="127000">
                <a:schemeClr val="accent1">
                  <a:alpha val="97000"/>
                </a:schemeClr>
              </a:glow>
            </a:effectLst>
          </a:endParaRPr>
        </a:p>
      </xdr:txBody>
    </xdr:sp>
    <xdr:clientData/>
  </xdr:twoCellAnchor>
  <xdr:twoCellAnchor>
    <xdr:from>
      <xdr:col>2</xdr:col>
      <xdr:colOff>236220</xdr:colOff>
      <xdr:row>0</xdr:row>
      <xdr:rowOff>121920</xdr:rowOff>
    </xdr:from>
    <xdr:to>
      <xdr:col>8</xdr:col>
      <xdr:colOff>259080</xdr:colOff>
      <xdr:row>2</xdr:row>
      <xdr:rowOff>38100</xdr:rowOff>
    </xdr:to>
    <xdr:sp macro="" textlink="">
      <xdr:nvSpPr>
        <xdr:cNvPr id="36" name="TextBox 35">
          <a:extLst>
            <a:ext uri="{FF2B5EF4-FFF2-40B4-BE49-F238E27FC236}">
              <a16:creationId xmlns:a16="http://schemas.microsoft.com/office/drawing/2014/main" id="{60CC9425-BAB9-4FB5-B0D5-F41E723E1864}"/>
            </a:ext>
          </a:extLst>
        </xdr:cNvPr>
        <xdr:cNvSpPr txBox="1"/>
      </xdr:nvSpPr>
      <xdr:spPr>
        <a:xfrm>
          <a:off x="1455420" y="121920"/>
          <a:ext cx="36804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b="1"/>
            <a:t>Hospital</a:t>
          </a:r>
          <a:r>
            <a:rPr lang="en-IN" sz="1800" b="1" baseline="0"/>
            <a:t> Emergency Room Dashboard</a:t>
          </a:r>
          <a:endParaRPr lang="en-IN" sz="1800" b="1"/>
        </a:p>
      </xdr:txBody>
    </xdr:sp>
    <xdr:clientData/>
  </xdr:twoCellAnchor>
  <xdr:twoCellAnchor>
    <xdr:from>
      <xdr:col>4</xdr:col>
      <xdr:colOff>38100</xdr:colOff>
      <xdr:row>2</xdr:row>
      <xdr:rowOff>68580</xdr:rowOff>
    </xdr:from>
    <xdr:to>
      <xdr:col>6</xdr:col>
      <xdr:colOff>434340</xdr:colOff>
      <xdr:row>3</xdr:row>
      <xdr:rowOff>152400</xdr:rowOff>
    </xdr:to>
    <xdr:sp macro="" textlink="">
      <xdr:nvSpPr>
        <xdr:cNvPr id="43" name="TextBox 42">
          <a:extLst>
            <a:ext uri="{FF2B5EF4-FFF2-40B4-BE49-F238E27FC236}">
              <a16:creationId xmlns:a16="http://schemas.microsoft.com/office/drawing/2014/main" id="{2680630D-11EC-48CE-B9E4-47E19F7CBA0F}"/>
            </a:ext>
          </a:extLst>
        </xdr:cNvPr>
        <xdr:cNvSpPr txBox="1"/>
      </xdr:nvSpPr>
      <xdr:spPr>
        <a:xfrm>
          <a:off x="2476500" y="434340"/>
          <a:ext cx="1615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Monthly Report</a:t>
          </a:r>
        </a:p>
      </xdr:txBody>
    </xdr:sp>
    <xdr:clientData/>
  </xdr:twoCellAnchor>
  <xdr:twoCellAnchor>
    <xdr:from>
      <xdr:col>2</xdr:col>
      <xdr:colOff>106680</xdr:colOff>
      <xdr:row>5</xdr:row>
      <xdr:rowOff>45720</xdr:rowOff>
    </xdr:from>
    <xdr:to>
      <xdr:col>5</xdr:col>
      <xdr:colOff>533400</xdr:colOff>
      <xdr:row>6</xdr:row>
      <xdr:rowOff>160020</xdr:rowOff>
    </xdr:to>
    <xdr:sp macro="" textlink="">
      <xdr:nvSpPr>
        <xdr:cNvPr id="61" name="TextBox 60">
          <a:extLst>
            <a:ext uri="{FF2B5EF4-FFF2-40B4-BE49-F238E27FC236}">
              <a16:creationId xmlns:a16="http://schemas.microsoft.com/office/drawing/2014/main" id="{5ADA735E-C584-42A3-BEF7-4382B455892D}"/>
            </a:ext>
          </a:extLst>
        </xdr:cNvPr>
        <xdr:cNvSpPr txBox="1"/>
      </xdr:nvSpPr>
      <xdr:spPr>
        <a:xfrm>
          <a:off x="1325880" y="960120"/>
          <a:ext cx="2255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Number of Patient</a:t>
          </a:r>
        </a:p>
      </xdr:txBody>
    </xdr:sp>
    <xdr:clientData/>
  </xdr:twoCellAnchor>
  <xdr:twoCellAnchor>
    <xdr:from>
      <xdr:col>2</xdr:col>
      <xdr:colOff>99060</xdr:colOff>
      <xdr:row>4</xdr:row>
      <xdr:rowOff>22860</xdr:rowOff>
    </xdr:from>
    <xdr:to>
      <xdr:col>5</xdr:col>
      <xdr:colOff>487680</xdr:colOff>
      <xdr:row>5</xdr:row>
      <xdr:rowOff>137160</xdr:rowOff>
    </xdr:to>
    <xdr:sp macro="" textlink="'Pivot Report'!B6">
      <xdr:nvSpPr>
        <xdr:cNvPr id="66" name="TextBox 65">
          <a:extLst>
            <a:ext uri="{FF2B5EF4-FFF2-40B4-BE49-F238E27FC236}">
              <a16:creationId xmlns:a16="http://schemas.microsoft.com/office/drawing/2014/main" id="{9E48C1B3-4997-4CDC-9DE1-775772A532A0}"/>
            </a:ext>
          </a:extLst>
        </xdr:cNvPr>
        <xdr:cNvSpPr txBox="1"/>
      </xdr:nvSpPr>
      <xdr:spPr>
        <a:xfrm>
          <a:off x="1318260" y="754380"/>
          <a:ext cx="22174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85F060-1F01-49A3-90B3-0B227380284D}" type="TxLink">
            <a:rPr lang="en-US" sz="1400" b="1" i="0" u="none" strike="noStrike">
              <a:solidFill>
                <a:srgbClr val="000000"/>
              </a:solidFill>
              <a:latin typeface="Calibri"/>
              <a:cs typeface="Calibri"/>
            </a:rPr>
            <a:pPr algn="ctr"/>
            <a:t>488</a:t>
          </a:fld>
          <a:endParaRPr lang="en-IN" sz="1100"/>
        </a:p>
      </xdr:txBody>
    </xdr:sp>
    <xdr:clientData/>
  </xdr:twoCellAnchor>
  <xdr:twoCellAnchor>
    <xdr:from>
      <xdr:col>5</xdr:col>
      <xdr:colOff>312420</xdr:colOff>
      <xdr:row>5</xdr:row>
      <xdr:rowOff>15240</xdr:rowOff>
    </xdr:from>
    <xdr:to>
      <xdr:col>9</xdr:col>
      <xdr:colOff>304800</xdr:colOff>
      <xdr:row>6</xdr:row>
      <xdr:rowOff>129540</xdr:rowOff>
    </xdr:to>
    <xdr:sp macro="" textlink="">
      <xdr:nvSpPr>
        <xdr:cNvPr id="68" name="TextBox 67">
          <a:extLst>
            <a:ext uri="{FF2B5EF4-FFF2-40B4-BE49-F238E27FC236}">
              <a16:creationId xmlns:a16="http://schemas.microsoft.com/office/drawing/2014/main" id="{F9C8129E-FD79-47D4-8817-0F604554DAD8}"/>
            </a:ext>
          </a:extLst>
        </xdr:cNvPr>
        <xdr:cNvSpPr txBox="1"/>
      </xdr:nvSpPr>
      <xdr:spPr>
        <a:xfrm>
          <a:off x="3360420" y="929640"/>
          <a:ext cx="24307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Patient</a:t>
          </a:r>
          <a:r>
            <a:rPr lang="en-IN" sz="1800" b="1"/>
            <a:t> </a:t>
          </a:r>
          <a:r>
            <a:rPr lang="en-IN" sz="1400" b="1"/>
            <a:t>Wait time</a:t>
          </a:r>
        </a:p>
      </xdr:txBody>
    </xdr:sp>
    <xdr:clientData/>
  </xdr:twoCellAnchor>
  <xdr:twoCellAnchor>
    <xdr:from>
      <xdr:col>5</xdr:col>
      <xdr:colOff>426720</xdr:colOff>
      <xdr:row>4</xdr:row>
      <xdr:rowOff>60960</xdr:rowOff>
    </xdr:from>
    <xdr:to>
      <xdr:col>9</xdr:col>
      <xdr:colOff>205740</xdr:colOff>
      <xdr:row>5</xdr:row>
      <xdr:rowOff>175260</xdr:rowOff>
    </xdr:to>
    <xdr:sp macro="" textlink="'Pivot Report'!B12">
      <xdr:nvSpPr>
        <xdr:cNvPr id="69" name="TextBox 68">
          <a:extLst>
            <a:ext uri="{FF2B5EF4-FFF2-40B4-BE49-F238E27FC236}">
              <a16:creationId xmlns:a16="http://schemas.microsoft.com/office/drawing/2014/main" id="{AC901B3B-A4CC-4DD7-AF40-962BC102D968}"/>
            </a:ext>
          </a:extLst>
        </xdr:cNvPr>
        <xdr:cNvSpPr txBox="1"/>
      </xdr:nvSpPr>
      <xdr:spPr>
        <a:xfrm>
          <a:off x="3474720" y="792480"/>
          <a:ext cx="22174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155D2A-0BC1-4B4B-BFB3-6AAE9A045FB2}" type="TxLink">
            <a:rPr lang="en-US" sz="1400" b="1" i="0" u="none" strike="noStrike">
              <a:solidFill>
                <a:srgbClr val="000000"/>
              </a:solidFill>
              <a:latin typeface="Calibri"/>
              <a:cs typeface="Calibri"/>
            </a:rPr>
            <a:pPr algn="ctr"/>
            <a:t>35.20</a:t>
          </a:fld>
          <a:endParaRPr lang="en-IN" sz="1100"/>
        </a:p>
      </xdr:txBody>
    </xdr:sp>
    <xdr:clientData/>
  </xdr:twoCellAnchor>
  <xdr:twoCellAnchor>
    <xdr:from>
      <xdr:col>9</xdr:col>
      <xdr:colOff>297180</xdr:colOff>
      <xdr:row>6</xdr:row>
      <xdr:rowOff>38100</xdr:rowOff>
    </xdr:from>
    <xdr:to>
      <xdr:col>12</xdr:col>
      <xdr:colOff>419100</xdr:colOff>
      <xdr:row>8</xdr:row>
      <xdr:rowOff>53340</xdr:rowOff>
    </xdr:to>
    <xdr:sp macro="" textlink="">
      <xdr:nvSpPr>
        <xdr:cNvPr id="70" name="TextBox 69">
          <a:extLst>
            <a:ext uri="{FF2B5EF4-FFF2-40B4-BE49-F238E27FC236}">
              <a16:creationId xmlns:a16="http://schemas.microsoft.com/office/drawing/2014/main" id="{948CD8B1-7716-4847-B67B-48E65F10A81F}"/>
            </a:ext>
          </a:extLst>
        </xdr:cNvPr>
        <xdr:cNvSpPr txBox="1"/>
      </xdr:nvSpPr>
      <xdr:spPr>
        <a:xfrm>
          <a:off x="5783580" y="1135380"/>
          <a:ext cx="19507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en-IN" sz="1200" b="1"/>
            <a:t>Patient</a:t>
          </a:r>
          <a:r>
            <a:rPr lang="en-IN" sz="1600" b="1"/>
            <a:t> </a:t>
          </a:r>
          <a:r>
            <a:rPr lang="en-IN" sz="1400" b="1"/>
            <a:t>Satisfaction</a:t>
          </a:r>
          <a:r>
            <a:rPr lang="en-IN" sz="1200" b="1" baseline="0"/>
            <a:t> Score</a:t>
          </a:r>
          <a:endParaRPr lang="en-IN" sz="1200" b="1"/>
        </a:p>
      </xdr:txBody>
    </xdr:sp>
    <xdr:clientData/>
  </xdr:twoCellAnchor>
  <xdr:twoCellAnchor>
    <xdr:from>
      <xdr:col>9</xdr:col>
      <xdr:colOff>274032</xdr:colOff>
      <xdr:row>4</xdr:row>
      <xdr:rowOff>114300</xdr:rowOff>
    </xdr:from>
    <xdr:to>
      <xdr:col>12</xdr:col>
      <xdr:colOff>342899</xdr:colOff>
      <xdr:row>6</xdr:row>
      <xdr:rowOff>45720</xdr:rowOff>
    </xdr:to>
    <xdr:sp macro="" textlink="'Pivot Report'!B17">
      <xdr:nvSpPr>
        <xdr:cNvPr id="71" name="TextBox 70">
          <a:extLst>
            <a:ext uri="{FF2B5EF4-FFF2-40B4-BE49-F238E27FC236}">
              <a16:creationId xmlns:a16="http://schemas.microsoft.com/office/drawing/2014/main" id="{F558D79D-744A-445E-90CC-DF7EC490B33F}"/>
            </a:ext>
          </a:extLst>
        </xdr:cNvPr>
        <xdr:cNvSpPr txBox="1"/>
      </xdr:nvSpPr>
      <xdr:spPr>
        <a:xfrm>
          <a:off x="5760432" y="845820"/>
          <a:ext cx="1897667"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F79D9E-B887-434E-9DE0-6AA4EEA1D641}" type="TxLink">
            <a:rPr lang="en-US" sz="1400" b="1" i="0" u="none" strike="noStrike">
              <a:solidFill>
                <a:srgbClr val="000000"/>
              </a:solidFill>
              <a:latin typeface="Calibri"/>
              <a:cs typeface="Calibri"/>
            </a:rPr>
            <a:pPr algn="ctr"/>
            <a:t>4.79</a:t>
          </a:fld>
          <a:endParaRPr lang="en-IN" sz="1100"/>
        </a:p>
      </xdr:txBody>
    </xdr:sp>
    <xdr:clientData/>
  </xdr:twoCellAnchor>
  <xdr:twoCellAnchor editAs="oneCell">
    <xdr:from>
      <xdr:col>2</xdr:col>
      <xdr:colOff>38102</xdr:colOff>
      <xdr:row>4</xdr:row>
      <xdr:rowOff>30479</xdr:rowOff>
    </xdr:from>
    <xdr:to>
      <xdr:col>2</xdr:col>
      <xdr:colOff>381000</xdr:colOff>
      <xdr:row>6</xdr:row>
      <xdr:rowOff>7617</xdr:rowOff>
    </xdr:to>
    <xdr:pic>
      <xdr:nvPicPr>
        <xdr:cNvPr id="79" name="Graphic 78" descr="Male profile with solid fill">
          <a:extLst>
            <a:ext uri="{FF2B5EF4-FFF2-40B4-BE49-F238E27FC236}">
              <a16:creationId xmlns:a16="http://schemas.microsoft.com/office/drawing/2014/main" id="{D7088291-0156-44E5-BEAD-FAD4A5BCCE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10800000" flipV="1">
          <a:off x="1257302" y="761999"/>
          <a:ext cx="342898" cy="342898"/>
        </a:xfrm>
        <a:prstGeom prst="rect">
          <a:avLst/>
        </a:prstGeom>
      </xdr:spPr>
    </xdr:pic>
    <xdr:clientData/>
  </xdr:twoCellAnchor>
  <xdr:twoCellAnchor editAs="oneCell">
    <xdr:from>
      <xdr:col>12</xdr:col>
      <xdr:colOff>114300</xdr:colOff>
      <xdr:row>4</xdr:row>
      <xdr:rowOff>60960</xdr:rowOff>
    </xdr:from>
    <xdr:to>
      <xdr:col>12</xdr:col>
      <xdr:colOff>419100</xdr:colOff>
      <xdr:row>6</xdr:row>
      <xdr:rowOff>0</xdr:rowOff>
    </xdr:to>
    <xdr:pic>
      <xdr:nvPicPr>
        <xdr:cNvPr id="81" name="Graphic 80" descr="Customer review with solid fill">
          <a:extLst>
            <a:ext uri="{FF2B5EF4-FFF2-40B4-BE49-F238E27FC236}">
              <a16:creationId xmlns:a16="http://schemas.microsoft.com/office/drawing/2014/main" id="{D79B859C-B3FC-461D-987B-50864FE380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429500" y="792480"/>
          <a:ext cx="304800" cy="304800"/>
        </a:xfrm>
        <a:prstGeom prst="rect">
          <a:avLst/>
        </a:prstGeom>
      </xdr:spPr>
    </xdr:pic>
    <xdr:clientData/>
  </xdr:twoCellAnchor>
  <xdr:twoCellAnchor editAs="oneCell">
    <xdr:from>
      <xdr:col>8</xdr:col>
      <xdr:colOff>548640</xdr:colOff>
      <xdr:row>4</xdr:row>
      <xdr:rowOff>38100</xdr:rowOff>
    </xdr:from>
    <xdr:to>
      <xdr:col>9</xdr:col>
      <xdr:colOff>274320</xdr:colOff>
      <xdr:row>6</xdr:row>
      <xdr:rowOff>7620</xdr:rowOff>
    </xdr:to>
    <xdr:pic>
      <xdr:nvPicPr>
        <xdr:cNvPr id="83" name="Graphic 82" descr="Hourglass Finished with solid fill">
          <a:extLst>
            <a:ext uri="{FF2B5EF4-FFF2-40B4-BE49-F238E27FC236}">
              <a16:creationId xmlns:a16="http://schemas.microsoft.com/office/drawing/2014/main" id="{9698BEA9-1BB7-4851-B163-A26E240618E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425440" y="769620"/>
          <a:ext cx="335280" cy="335280"/>
        </a:xfrm>
        <a:prstGeom prst="rect">
          <a:avLst/>
        </a:prstGeom>
      </xdr:spPr>
    </xdr:pic>
    <xdr:clientData/>
  </xdr:twoCellAnchor>
  <xdr:twoCellAnchor editAs="oneCell">
    <xdr:from>
      <xdr:col>0</xdr:col>
      <xdr:colOff>91440</xdr:colOff>
      <xdr:row>0</xdr:row>
      <xdr:rowOff>0</xdr:rowOff>
    </xdr:from>
    <xdr:to>
      <xdr:col>1</xdr:col>
      <xdr:colOff>251460</xdr:colOff>
      <xdr:row>4</xdr:row>
      <xdr:rowOff>38100</xdr:rowOff>
    </xdr:to>
    <xdr:pic>
      <xdr:nvPicPr>
        <xdr:cNvPr id="85" name="Graphic 84" descr="Medical with solid fill">
          <a:extLst>
            <a:ext uri="{FF2B5EF4-FFF2-40B4-BE49-F238E27FC236}">
              <a16:creationId xmlns:a16="http://schemas.microsoft.com/office/drawing/2014/main" id="{66FCDBAA-FD43-41FE-8E67-87A4FFFA352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1440" y="0"/>
          <a:ext cx="769620" cy="769620"/>
        </a:xfrm>
        <a:prstGeom prst="rect">
          <a:avLst/>
        </a:prstGeom>
      </xdr:spPr>
    </xdr:pic>
    <xdr:clientData/>
  </xdr:twoCellAnchor>
  <xdr:twoCellAnchor editAs="oneCell">
    <xdr:from>
      <xdr:col>0</xdr:col>
      <xdr:colOff>99060</xdr:colOff>
      <xdr:row>6</xdr:row>
      <xdr:rowOff>160020</xdr:rowOff>
    </xdr:from>
    <xdr:to>
      <xdr:col>1</xdr:col>
      <xdr:colOff>556260</xdr:colOff>
      <xdr:row>26</xdr:row>
      <xdr:rowOff>144780</xdr:rowOff>
    </xdr:to>
    <mc:AlternateContent xmlns:mc="http://schemas.openxmlformats.org/markup-compatibility/2006" xmlns:a14="http://schemas.microsoft.com/office/drawing/2010/main">
      <mc:Choice Requires="a14">
        <xdr:graphicFrame macro="">
          <xdr:nvGraphicFramePr>
            <xdr:cNvPr id="28" name="Date (Month)">
              <a:extLst>
                <a:ext uri="{FF2B5EF4-FFF2-40B4-BE49-F238E27FC236}">
                  <a16:creationId xmlns:a16="http://schemas.microsoft.com/office/drawing/2014/main" id="{293EFC41-C08F-4854-B15B-7B308D36AD7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9060" y="1257300"/>
              <a:ext cx="1066800" cy="3710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xdr:colOff>
      <xdr:row>6</xdr:row>
      <xdr:rowOff>76200</xdr:rowOff>
    </xdr:from>
    <xdr:to>
      <xdr:col>6</xdr:col>
      <xdr:colOff>7620</xdr:colOff>
      <xdr:row>12</xdr:row>
      <xdr:rowOff>38100</xdr:rowOff>
    </xdr:to>
    <xdr:graphicFrame macro="">
      <xdr:nvGraphicFramePr>
        <xdr:cNvPr id="30" name="Chart 29">
          <a:hlinkClick xmlns:r="http://schemas.openxmlformats.org/officeDocument/2006/relationships" r:id="rId9"/>
          <a:extLst>
            <a:ext uri="{FF2B5EF4-FFF2-40B4-BE49-F238E27FC236}">
              <a16:creationId xmlns:a16="http://schemas.microsoft.com/office/drawing/2014/main" id="{215157D3-B42C-4856-8EA3-24790A844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533400</xdr:colOff>
      <xdr:row>7</xdr:row>
      <xdr:rowOff>106680</xdr:rowOff>
    </xdr:from>
    <xdr:to>
      <xdr:col>9</xdr:col>
      <xdr:colOff>297180</xdr:colOff>
      <xdr:row>10</xdr:row>
      <xdr:rowOff>137160</xdr:rowOff>
    </xdr:to>
    <xdr:graphicFrame macro="">
      <xdr:nvGraphicFramePr>
        <xdr:cNvPr id="32" name="Chart 31">
          <a:hlinkClick xmlns:r="http://schemas.openxmlformats.org/officeDocument/2006/relationships" r:id="rId11"/>
          <a:extLst>
            <a:ext uri="{FF2B5EF4-FFF2-40B4-BE49-F238E27FC236}">
              <a16:creationId xmlns:a16="http://schemas.microsoft.com/office/drawing/2014/main" id="{8B803D1D-809E-4068-BFD9-5D6068B82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350520</xdr:colOff>
      <xdr:row>7</xdr:row>
      <xdr:rowOff>152400</xdr:rowOff>
    </xdr:from>
    <xdr:to>
      <xdr:col>12</xdr:col>
      <xdr:colOff>518160</xdr:colOff>
      <xdr:row>10</xdr:row>
      <xdr:rowOff>137160</xdr:rowOff>
    </xdr:to>
    <xdr:graphicFrame macro="">
      <xdr:nvGraphicFramePr>
        <xdr:cNvPr id="34" name="Chart 33">
          <a:hlinkClick xmlns:r="http://schemas.openxmlformats.org/officeDocument/2006/relationships" r:id="rId13"/>
          <a:extLst>
            <a:ext uri="{FF2B5EF4-FFF2-40B4-BE49-F238E27FC236}">
              <a16:creationId xmlns:a16="http://schemas.microsoft.com/office/drawing/2014/main" id="{D5C38B5D-EF3D-4B9B-9847-53B62B112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76200</xdr:colOff>
          <xdr:row>10</xdr:row>
          <xdr:rowOff>99575</xdr:rowOff>
        </xdr:from>
        <xdr:to>
          <xdr:col>12</xdr:col>
          <xdr:colOff>426720</xdr:colOff>
          <xdr:row>14</xdr:row>
          <xdr:rowOff>99060</xdr:rowOff>
        </xdr:to>
        <xdr:pic>
          <xdr:nvPicPr>
            <xdr:cNvPr id="41" name="Picture 40">
              <a:extLst>
                <a:ext uri="{FF2B5EF4-FFF2-40B4-BE49-F238E27FC236}">
                  <a16:creationId xmlns:a16="http://schemas.microsoft.com/office/drawing/2014/main" id="{038993DE-1AED-4BBD-A1FE-F5B9A9EDCE26}"/>
                </a:ext>
              </a:extLst>
            </xdr:cNvPr>
            <xdr:cNvPicPr>
              <a:picLocks noChangeAspect="1" noChangeArrowheads="1"/>
              <a:extLst>
                <a:ext uri="{84589F7E-364E-4C9E-8A38-B11213B215E9}">
                  <a14:cameraTool cellRange="'Pivot Report'!$B$48:$E$50" spid="_x0000_s1042"/>
                </a:ext>
              </a:extLst>
            </xdr:cNvPicPr>
          </xdr:nvPicPr>
          <xdr:blipFill>
            <a:blip xmlns:r="http://schemas.openxmlformats.org/officeDocument/2006/relationships" r:embed="rId15"/>
            <a:srcRect/>
            <a:stretch>
              <a:fillRect/>
            </a:stretch>
          </xdr:blipFill>
          <xdr:spPr bwMode="auto">
            <a:xfrm>
              <a:off x="1295400" y="1928375"/>
              <a:ext cx="6446520" cy="73100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99060</xdr:colOff>
      <xdr:row>17</xdr:row>
      <xdr:rowOff>53340</xdr:rowOff>
    </xdr:from>
    <xdr:to>
      <xdr:col>12</xdr:col>
      <xdr:colOff>320040</xdr:colOff>
      <xdr:row>25</xdr:row>
      <xdr:rowOff>83820</xdr:rowOff>
    </xdr:to>
    <xdr:graphicFrame macro="">
      <xdr:nvGraphicFramePr>
        <xdr:cNvPr id="42" name="Chart 41">
          <a:extLst>
            <a:ext uri="{FF2B5EF4-FFF2-40B4-BE49-F238E27FC236}">
              <a16:creationId xmlns:a16="http://schemas.microsoft.com/office/drawing/2014/main" id="{8F370B9E-DBEC-4C65-A1A9-91DE044F7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419100</xdr:colOff>
      <xdr:row>25</xdr:row>
      <xdr:rowOff>114300</xdr:rowOff>
    </xdr:from>
    <xdr:to>
      <xdr:col>9</xdr:col>
      <xdr:colOff>121920</xdr:colOff>
      <xdr:row>26</xdr:row>
      <xdr:rowOff>137160</xdr:rowOff>
    </xdr:to>
    <xdr:sp macro="" textlink="">
      <xdr:nvSpPr>
        <xdr:cNvPr id="45" name="TextBox 44">
          <a:extLst>
            <a:ext uri="{FF2B5EF4-FFF2-40B4-BE49-F238E27FC236}">
              <a16:creationId xmlns:a16="http://schemas.microsoft.com/office/drawing/2014/main" id="{62E5C9F2-7822-4D9D-91E9-8441C0B85524}"/>
            </a:ext>
          </a:extLst>
        </xdr:cNvPr>
        <xdr:cNvSpPr txBox="1"/>
      </xdr:nvSpPr>
      <xdr:spPr>
        <a:xfrm>
          <a:off x="3467100" y="4686300"/>
          <a:ext cx="21412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Calibri"/>
              <a:cs typeface="Calibri"/>
            </a:rPr>
            <a:t>No.</a:t>
          </a:r>
          <a:r>
            <a:rPr lang="en-US" sz="1200" b="0" i="0" u="none" strike="noStrike" baseline="0">
              <a:solidFill>
                <a:srgbClr val="000000"/>
              </a:solidFill>
              <a:latin typeface="Calibri"/>
              <a:cs typeface="Calibri"/>
            </a:rPr>
            <a:t> </a:t>
          </a:r>
          <a:r>
            <a:rPr lang="en-US" sz="1100" b="0" i="0" u="none" strike="noStrike" baseline="0">
              <a:solidFill>
                <a:srgbClr val="000000"/>
              </a:solidFill>
              <a:latin typeface="Calibri"/>
              <a:cs typeface="Calibri"/>
            </a:rPr>
            <a:t>Patient</a:t>
          </a:r>
          <a:r>
            <a:rPr lang="en-US" sz="1200" b="0" i="0" u="none" strike="noStrike" baseline="0">
              <a:solidFill>
                <a:srgbClr val="000000"/>
              </a:solidFill>
              <a:latin typeface="Calibri"/>
              <a:cs typeface="Calibri"/>
            </a:rPr>
            <a:t> By Age </a:t>
          </a:r>
          <a:r>
            <a:rPr lang="en-US" sz="1100" b="0" i="0" u="none" strike="noStrike" baseline="0">
              <a:solidFill>
                <a:srgbClr val="000000"/>
              </a:solidFill>
              <a:latin typeface="Calibri"/>
              <a:cs typeface="Calibri"/>
            </a:rPr>
            <a:t>Group</a:t>
          </a:r>
          <a:endParaRPr lang="en-US" sz="1200" b="0" i="0" u="none" strike="noStrike">
            <a:solidFill>
              <a:srgbClr val="000000"/>
            </a:solidFill>
            <a:latin typeface="Calibri"/>
            <a:cs typeface="Calibri"/>
          </a:endParaRPr>
        </a:p>
      </xdr:txBody>
    </xdr:sp>
    <xdr:clientData/>
  </xdr:twoCellAnchor>
  <xdr:twoCellAnchor>
    <xdr:from>
      <xdr:col>13</xdr:col>
      <xdr:colOff>53340</xdr:colOff>
      <xdr:row>0</xdr:row>
      <xdr:rowOff>15240</xdr:rowOff>
    </xdr:from>
    <xdr:to>
      <xdr:col>16</xdr:col>
      <xdr:colOff>190500</xdr:colOff>
      <xdr:row>8</xdr:row>
      <xdr:rowOff>38100</xdr:rowOff>
    </xdr:to>
    <xdr:graphicFrame macro="">
      <xdr:nvGraphicFramePr>
        <xdr:cNvPr id="46" name="Chart 45">
          <a:extLst>
            <a:ext uri="{FF2B5EF4-FFF2-40B4-BE49-F238E27FC236}">
              <a16:creationId xmlns:a16="http://schemas.microsoft.com/office/drawing/2014/main" id="{A4E5FA0C-9A06-4BD6-A06C-13BF7D588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365760</xdr:colOff>
      <xdr:row>7</xdr:row>
      <xdr:rowOff>129540</xdr:rowOff>
    </xdr:from>
    <xdr:to>
      <xdr:col>15</xdr:col>
      <xdr:colOff>487680</xdr:colOff>
      <xdr:row>8</xdr:row>
      <xdr:rowOff>137160</xdr:rowOff>
    </xdr:to>
    <xdr:sp macro="" textlink="">
      <xdr:nvSpPr>
        <xdr:cNvPr id="2" name="TextBox 1">
          <a:extLst>
            <a:ext uri="{FF2B5EF4-FFF2-40B4-BE49-F238E27FC236}">
              <a16:creationId xmlns:a16="http://schemas.microsoft.com/office/drawing/2014/main" id="{5464F952-323D-4495-B24F-B54486BD6A17}"/>
            </a:ext>
          </a:extLst>
        </xdr:cNvPr>
        <xdr:cNvSpPr txBox="1"/>
      </xdr:nvSpPr>
      <xdr:spPr>
        <a:xfrm>
          <a:off x="8290560" y="1409700"/>
          <a:ext cx="13411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en-IN" sz="1100"/>
            <a:t>Patient </a:t>
          </a:r>
          <a:r>
            <a:rPr lang="en-IN" sz="1050"/>
            <a:t>Attend</a:t>
          </a:r>
          <a:r>
            <a:rPr lang="en-IN" sz="1100"/>
            <a:t> Status</a:t>
          </a:r>
        </a:p>
      </xdr:txBody>
    </xdr:sp>
    <xdr:clientData/>
  </xdr:twoCellAnchor>
  <xdr:twoCellAnchor>
    <xdr:from>
      <xdr:col>16</xdr:col>
      <xdr:colOff>304800</xdr:colOff>
      <xdr:row>0</xdr:row>
      <xdr:rowOff>0</xdr:rowOff>
    </xdr:from>
    <xdr:to>
      <xdr:col>19</xdr:col>
      <xdr:colOff>449580</xdr:colOff>
      <xdr:row>8</xdr:row>
      <xdr:rowOff>144780</xdr:rowOff>
    </xdr:to>
    <xdr:graphicFrame macro="">
      <xdr:nvGraphicFramePr>
        <xdr:cNvPr id="51" name="Chart 50">
          <a:extLst>
            <a:ext uri="{FF2B5EF4-FFF2-40B4-BE49-F238E27FC236}">
              <a16:creationId xmlns:a16="http://schemas.microsoft.com/office/drawing/2014/main" id="{4B241E87-03D9-41BB-8F95-193434B16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83820</xdr:colOff>
      <xdr:row>7</xdr:row>
      <xdr:rowOff>175260</xdr:rowOff>
    </xdr:from>
    <xdr:to>
      <xdr:col>19</xdr:col>
      <xdr:colOff>358140</xdr:colOff>
      <xdr:row>9</xdr:row>
      <xdr:rowOff>7620</xdr:rowOff>
    </xdr:to>
    <xdr:sp macro="" textlink="">
      <xdr:nvSpPr>
        <xdr:cNvPr id="3" name="TextBox 2">
          <a:extLst>
            <a:ext uri="{FF2B5EF4-FFF2-40B4-BE49-F238E27FC236}">
              <a16:creationId xmlns:a16="http://schemas.microsoft.com/office/drawing/2014/main" id="{FE22CD7B-5ACB-4465-ADBB-B206A59B652F}"/>
            </a:ext>
          </a:extLst>
        </xdr:cNvPr>
        <xdr:cNvSpPr txBox="1"/>
      </xdr:nvSpPr>
      <xdr:spPr>
        <a:xfrm>
          <a:off x="10447020" y="1455420"/>
          <a:ext cx="14935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Gender Wise Analysis</a:t>
          </a:r>
        </a:p>
      </xdr:txBody>
    </xdr:sp>
    <xdr:clientData/>
  </xdr:twoCellAnchor>
  <xdr:twoCellAnchor>
    <xdr:from>
      <xdr:col>12</xdr:col>
      <xdr:colOff>579120</xdr:colOff>
      <xdr:row>9</xdr:row>
      <xdr:rowOff>22860</xdr:rowOff>
    </xdr:from>
    <xdr:to>
      <xdr:col>19</xdr:col>
      <xdr:colOff>457200</xdr:colOff>
      <xdr:row>25</xdr:row>
      <xdr:rowOff>22860</xdr:rowOff>
    </xdr:to>
    <xdr:graphicFrame macro="">
      <xdr:nvGraphicFramePr>
        <xdr:cNvPr id="53" name="Chart 52">
          <a:extLst>
            <a:ext uri="{FF2B5EF4-FFF2-40B4-BE49-F238E27FC236}">
              <a16:creationId xmlns:a16="http://schemas.microsoft.com/office/drawing/2014/main" id="{096D3003-841C-45BE-B222-0DF21E822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53340</xdr:colOff>
      <xdr:row>25</xdr:row>
      <xdr:rowOff>121920</xdr:rowOff>
    </xdr:from>
    <xdr:to>
      <xdr:col>19</xdr:col>
      <xdr:colOff>30480</xdr:colOff>
      <xdr:row>26</xdr:row>
      <xdr:rowOff>137160</xdr:rowOff>
    </xdr:to>
    <xdr:sp macro="" textlink="">
      <xdr:nvSpPr>
        <xdr:cNvPr id="4" name="TextBox 3">
          <a:extLst>
            <a:ext uri="{FF2B5EF4-FFF2-40B4-BE49-F238E27FC236}">
              <a16:creationId xmlns:a16="http://schemas.microsoft.com/office/drawing/2014/main" id="{D4FB53C9-A918-4754-8E9E-232FEE17D016}"/>
            </a:ext>
          </a:extLst>
        </xdr:cNvPr>
        <xdr:cNvSpPr txBox="1"/>
      </xdr:nvSpPr>
      <xdr:spPr>
        <a:xfrm>
          <a:off x="9197340" y="4693920"/>
          <a:ext cx="24155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No. Of Patient By Department Referral</a:t>
          </a:r>
        </a:p>
      </xdr:txBody>
    </xdr:sp>
    <xdr:clientData/>
  </xdr:twoCellAnchor>
  <xdr:twoCellAnchor editAs="oneCell">
    <xdr:from>
      <xdr:col>9</xdr:col>
      <xdr:colOff>396240</xdr:colOff>
      <xdr:row>0</xdr:row>
      <xdr:rowOff>152400</xdr:rowOff>
    </xdr:from>
    <xdr:to>
      <xdr:col>12</xdr:col>
      <xdr:colOff>396240</xdr:colOff>
      <xdr:row>3</xdr:row>
      <xdr:rowOff>60959</xdr:rowOff>
    </xdr:to>
    <mc:AlternateContent xmlns:mc="http://schemas.openxmlformats.org/markup-compatibility/2006">
      <mc:Choice xmlns:a14="http://schemas.microsoft.com/office/drawing/2010/main" Requires="a14">
        <xdr:graphicFrame macro="">
          <xdr:nvGraphicFramePr>
            <xdr:cNvPr id="57" name="Date (Year)">
              <a:extLst>
                <a:ext uri="{FF2B5EF4-FFF2-40B4-BE49-F238E27FC236}">
                  <a16:creationId xmlns:a16="http://schemas.microsoft.com/office/drawing/2014/main" id="{FB6439B3-4462-42EE-99D7-69586731551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882640" y="152400"/>
              <a:ext cx="1828800" cy="448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0</xdr:row>
      <xdr:rowOff>53340</xdr:rowOff>
    </xdr:from>
    <xdr:to>
      <xdr:col>20</xdr:col>
      <xdr:colOff>7620</xdr:colOff>
      <xdr:row>21</xdr:row>
      <xdr:rowOff>7620</xdr:rowOff>
    </xdr:to>
    <xdr:graphicFrame macro="">
      <xdr:nvGraphicFramePr>
        <xdr:cNvPr id="2" name="Chart 1">
          <a:extLst>
            <a:ext uri="{FF2B5EF4-FFF2-40B4-BE49-F238E27FC236}">
              <a16:creationId xmlns:a16="http://schemas.microsoft.com/office/drawing/2014/main" id="{CD48EB5E-918F-4174-854F-F7B56E565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121920</xdr:colOff>
      <xdr:row>0</xdr:row>
      <xdr:rowOff>45720</xdr:rowOff>
    </xdr:from>
    <xdr:to>
      <xdr:col>0</xdr:col>
      <xdr:colOff>510540</xdr:colOff>
      <xdr:row>2</xdr:row>
      <xdr:rowOff>68580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2682896-094A-47FC-8A11-BD9B2D25BF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21920" y="45720"/>
          <a:ext cx="388620" cy="388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137160</xdr:colOff>
      <xdr:row>0</xdr:row>
      <xdr:rowOff>53340</xdr:rowOff>
    </xdr:from>
    <xdr:to>
      <xdr:col>21</xdr:col>
      <xdr:colOff>106680</xdr:colOff>
      <xdr:row>27</xdr:row>
      <xdr:rowOff>137160</xdr:rowOff>
    </xdr:to>
    <xdr:graphicFrame macro="">
      <xdr:nvGraphicFramePr>
        <xdr:cNvPr id="2" name="Chart 1">
          <a:extLst>
            <a:ext uri="{FF2B5EF4-FFF2-40B4-BE49-F238E27FC236}">
              <a16:creationId xmlns:a16="http://schemas.microsoft.com/office/drawing/2014/main" id="{8EC5291B-0C8D-43FB-BC2D-C40FED839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182880</xdr:colOff>
      <xdr:row>1</xdr:row>
      <xdr:rowOff>160020</xdr:rowOff>
    </xdr:from>
    <xdr:to>
      <xdr:col>0</xdr:col>
      <xdr:colOff>586740</xdr:colOff>
      <xdr:row>4</xdr:row>
      <xdr:rowOff>15240</xdr:rowOff>
    </xdr:to>
    <xdr:pic>
      <xdr:nvPicPr>
        <xdr:cNvPr id="4" name="Graphic 3" descr="Hourglass Finished with solid fill">
          <a:hlinkClick xmlns:r="http://schemas.openxmlformats.org/officeDocument/2006/relationships" r:id="rId2"/>
          <a:extLst>
            <a:ext uri="{FF2B5EF4-FFF2-40B4-BE49-F238E27FC236}">
              <a16:creationId xmlns:a16="http://schemas.microsoft.com/office/drawing/2014/main" id="{23490AC7-7486-423B-890B-6B9D6BC2A1A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82880" y="342900"/>
          <a:ext cx="403860" cy="4038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480060</xdr:colOff>
      <xdr:row>0</xdr:row>
      <xdr:rowOff>15240</xdr:rowOff>
    </xdr:from>
    <xdr:to>
      <xdr:col>21</xdr:col>
      <xdr:colOff>579120</xdr:colOff>
      <xdr:row>27</xdr:row>
      <xdr:rowOff>152400</xdr:rowOff>
    </xdr:to>
    <xdr:graphicFrame macro="">
      <xdr:nvGraphicFramePr>
        <xdr:cNvPr id="4" name="Chart 3">
          <a:extLst>
            <a:ext uri="{FF2B5EF4-FFF2-40B4-BE49-F238E27FC236}">
              <a16:creationId xmlns:a16="http://schemas.microsoft.com/office/drawing/2014/main" id="{42D9C10F-0721-4A7D-8FFF-268E8024C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0</xdr:row>
      <xdr:rowOff>68580</xdr:rowOff>
    </xdr:from>
    <xdr:to>
      <xdr:col>0</xdr:col>
      <xdr:colOff>495300</xdr:colOff>
      <xdr:row>2</xdr:row>
      <xdr:rowOff>121920</xdr:rowOff>
    </xdr:to>
    <xdr:pic>
      <xdr:nvPicPr>
        <xdr:cNvPr id="6" name="Graphic 5" descr="Customer review with solid fill">
          <a:hlinkClick xmlns:r="http://schemas.openxmlformats.org/officeDocument/2006/relationships" r:id="rId2"/>
          <a:extLst>
            <a:ext uri="{FF2B5EF4-FFF2-40B4-BE49-F238E27FC236}">
              <a16:creationId xmlns:a16="http://schemas.microsoft.com/office/drawing/2014/main" id="{A3D0F7CF-6D05-47A9-8068-DBE8269051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6200" y="68580"/>
          <a:ext cx="419100" cy="4191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985162037" createdVersion="5" refreshedVersion="7" minRefreshableVersion="3" recordCount="0" supportSubquery="1" supportAdvancedDrill="1" xr:uid="{358F05BD-FA18-43AD-83EC-C6376A0702CF}">
  <cacheSource type="external" connectionId="3"/>
  <cacheFields count="4">
    <cacheField name="[Measures].[Count of Patient Id]" caption="Count of Patient Id" numFmtId="0" hierarchy="23" level="32767"/>
    <cacheField name="[Calender-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2"/>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1"/>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9853472225" createdVersion="5" refreshedVersion="7" minRefreshableVersion="3" recordCount="0" supportSubquery="1" supportAdvancedDrill="1" xr:uid="{D3FACC70-3436-4244-815D-3493DD45E945}">
  <cacheSource type="external" connectionId="3"/>
  <cacheFields count="3">
    <cacheField name="[Measures].[Count of Patient Id]" caption="Count of Patient Id" numFmtId="0" hierarchy="23"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9854050925" createdVersion="5" refreshedVersion="7" minRefreshableVersion="3" recordCount="0" supportSubquery="1" supportAdvancedDrill="1" xr:uid="{BB826825-4DDC-43C5-8A70-98D08B947B29}">
  <cacheSource type="external" connectionId="3"/>
  <cacheFields count="3">
    <cacheField name="[Measures].[Average of Patient Waittime]" caption="Average of Patient Waittime" numFmtId="0" hierarchy="25"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9854629633" createdVersion="5" refreshedVersion="7" minRefreshableVersion="3" recordCount="0" supportSubquery="1" supportAdvancedDrill="1" xr:uid="{2AF314D9-D69A-4C01-B35B-E06F9C24D6BA}">
  <cacheSource type="external" connectionId="3"/>
  <cacheFields count="3">
    <cacheField name="[Measures].[Average of Patient Satisfaction Score]" caption="Average of Patient Satisfaction Score" numFmtId="0" hierarchy="27"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9855439818" createdVersion="5" refreshedVersion="7" minRefreshableVersion="3" recordCount="0" supportSubquery="1" supportAdvancedDrill="1" xr:uid="{97B639AA-C356-4142-860F-D199F0BEAA37}">
  <cacheSource type="external" connectionId="3"/>
  <cacheFields count="4">
    <cacheField name="[Calender-Table].[Date (Day)].[Date (Day)]" caption="Date (Day)" numFmtId="0" hierarchy="2" level="1">
      <sharedItems count="153">
        <s v="1-Jul"/>
        <s v="2-Jul"/>
        <s v="3-Jul"/>
        <s v="4-Jul"/>
        <s v="5-Jul"/>
        <s v="6-Jul"/>
        <s v="7-Jul"/>
        <s v="8-Jul"/>
        <s v="9-Jul"/>
        <s v="10-Jul"/>
        <s v="11-Jul"/>
        <s v="12-Jul"/>
        <s v="13-Jul"/>
        <s v="14-Jul"/>
        <s v="15-Jul"/>
        <s v="16-Jul"/>
        <s v="17-Jul"/>
        <s v="18-Jul"/>
        <s v="19-Jul"/>
        <s v="20-Jul"/>
        <s v="21-Jul"/>
        <s v="22-Jul"/>
        <s v="23-Jul"/>
        <s v="24-Jul"/>
        <s v="25-Jul"/>
        <s v="26-Jul"/>
        <s v="27-Jul"/>
        <s v="28-Jul"/>
        <s v="29-Jul"/>
        <s v="30-Jul"/>
        <s v="31-Jul"/>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er-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0"/>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9857638889" createdVersion="5" refreshedVersion="7" minRefreshableVersion="3" recordCount="0" supportSubquery="1" supportAdvancedDrill="1" xr:uid="{360C2E51-1E84-414A-AEF4-1B171E85E43E}">
  <cacheSource type="external" connectionId="3"/>
  <cacheFields count="4">
    <cacheField name="[Calender-Table].[Date (Day)].[Date (Day)]" caption="Date (Day)" numFmtId="0" hierarchy="2" level="1">
      <sharedItems count="153">
        <s v="1-Jul"/>
        <s v="2-Jul"/>
        <s v="3-Jul"/>
        <s v="4-Jul"/>
        <s v="5-Jul"/>
        <s v="6-Jul"/>
        <s v="7-Jul"/>
        <s v="8-Jul"/>
        <s v="9-Jul"/>
        <s v="10-Jul"/>
        <s v="11-Jul"/>
        <s v="12-Jul"/>
        <s v="13-Jul"/>
        <s v="14-Jul"/>
        <s v="15-Jul"/>
        <s v="16-Jul"/>
        <s v="17-Jul"/>
        <s v="18-Jul"/>
        <s v="19-Jul"/>
        <s v="20-Jul"/>
        <s v="21-Jul"/>
        <s v="22-Jul"/>
        <s v="23-Jul"/>
        <s v="24-Jul"/>
        <s v="25-Jul"/>
        <s v="26-Jul"/>
        <s v="27-Jul"/>
        <s v="28-Jul"/>
        <s v="29-Jul"/>
        <s v="30-Jul"/>
        <s v="31-Jul"/>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7-Feb" u="1"/>
        <s v="28-Feb" u="1"/>
        <s v="29-Feb"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26-Feb" u="1"/>
      </sharedItems>
    </cacheField>
    <cacheField name="[Calender-Table].[Date (Month)].[Date (Month)]" caption="Date (Month)" numFmtId="0" hierarchy="1" level="1">
      <sharedItems containsSemiMixedTypes="0" containsNonDate="0" containsString="0"/>
    </cacheField>
    <cacheField name="[Measures].[Sum of Patient Satisfaction Score]" caption="Sum of Patient Satisfaction Score" numFmtId="0" hierarchy="26"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0"/>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9859606483" createdVersion="5" refreshedVersion="7" minRefreshableVersion="3" recordCount="0" supportSubquery="1" supportAdvancedDrill="1" xr:uid="{CD6E95A8-BB53-4D73-BEE5-FEA5011BC52F}">
  <cacheSource type="external" connectionId="3"/>
  <cacheFields count="5">
    <cacheField name="[Calender-Table].[Date (Month)].[Date (Month)]" caption="Date (Month)" numFmtId="0" hierarchy="1" level="1">
      <sharedItems containsSemiMixedTypes="0" containsNonDate="0" containsString="0"/>
    </cacheField>
    <cacheField name="[Measures].[Count of Patient Admission Flag]" caption="Count of Patient Admission Flag" numFmtId="0" hierarchy="28" level="32767"/>
    <cacheField name="[Hospital Emergency Room Data].[Patient Admission Flag].[Patient Admission Flag]" caption="Patient Admission Flag" numFmtId="0" hierarchy="13" level="1">
      <sharedItems count="2">
        <s v="Admitted"/>
        <s v="Not Admitted"/>
      </sharedItems>
    </cacheField>
    <cacheField name="[Calender-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9860300929" createdVersion="5" refreshedVersion="7" minRefreshableVersion="3" recordCount="0" supportSubquery="1" supportAdvancedDrill="1" xr:uid="{D60AA713-173F-4F65-A31D-B3BCDC003421}">
  <cacheSource type="external" connectionId="3"/>
  <cacheFields count="4">
    <cacheField name="[Calender-Table].[Date (Month)].[Date (Month)]" caption="Date (Month)" numFmtId="0" hierarchy="1" level="1">
      <sharedItems containsSemiMixedTypes="0" containsNonDate="0" containsString="0"/>
    </cacheField>
    <cacheField name="[Measures].[Count of Group Age]" caption="Count of Group Age" numFmtId="0" hierarchy="29" level="32767"/>
    <cacheField name="[Hospital Emergency Room Data].[Group Age].[Group Age]" caption="Group Age" numFmtId="0" hierarchy="16" level="1">
      <sharedItems count="8">
        <s v="0-9"/>
        <s v="10-19"/>
        <s v="20-29"/>
        <s v="30-39"/>
        <s v="40-49"/>
        <s v="50-59"/>
        <s v="60-69"/>
        <s v="70-79"/>
      </sharedItems>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2" memberValueDatatype="130" unbalanced="0">
      <fieldsUsage count="2">
        <fieldUsage x="-1"/>
        <fieldUsage x="2"/>
      </fieldsUsage>
    </cacheHierarchy>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9861111114" createdVersion="5" refreshedVersion="7" minRefreshableVersion="3" recordCount="0" supportSubquery="1" supportAdvancedDrill="1" xr:uid="{E638D063-3B76-4183-9E1F-DB2B9C90544F}">
  <cacheSource type="external" connectionId="3"/>
  <cacheFields count="4">
    <cacheField name="[Calender-Table].[Date (Month)].[Date (Month)]" caption="Date (Month)" numFmtId="0" hierarchy="1" level="1">
      <sharedItems containsSemiMixedTypes="0" containsNonDate="0" containsString="0"/>
    </cacheField>
    <cacheField name="[Hospital Emergency Room Data].[Patient Wait Time Status].[Patient Wait Time Status]" caption="Patient Wait Time Status" numFmtId="0" hierarchy="17" level="1">
      <sharedItems count="2">
        <s v="Delay"/>
        <s v="Ontime"/>
      </sharedItems>
    </cacheField>
    <cacheField name="[Measures].[Count of Patient Id]" caption="Count of Patient Id" numFmtId="0" hierarchy="23"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2" memberValueDatatype="130" unbalanced="0">
      <fieldsUsage count="2">
        <fieldUsage x="-1"/>
        <fieldUsage x="1"/>
      </fieldsUsage>
    </cacheHierarchy>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9861805554" createdVersion="5" refreshedVersion="7" minRefreshableVersion="3" recordCount="0" supportSubquery="1" supportAdvancedDrill="1" xr:uid="{DEE445E7-04EA-4A2C-A76E-782976B4F657}">
  <cacheSource type="external" connectionId="3"/>
  <cacheFields count="4">
    <cacheField name="[Calender-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9862615739" createdVersion="5" refreshedVersion="7" minRefreshableVersion="3" recordCount="0" supportSubquery="1" supportAdvancedDrill="1" xr:uid="{3B4C042C-5AA3-482A-997C-5E4CB365329C}">
  <cacheSource type="external" connectionId="3"/>
  <cacheFields count="4">
    <cacheField name="[Calender-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Table].[Date (Year)].[Date (Year)]" caption="Date (Year)" numFmtId="0" hierarchy="3" level="1">
      <sharedItems containsSemiMixedTypes="0" containsNonDate="0" containsString="0"/>
    </cacheField>
  </cacheFields>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986354167" createdVersion="5" refreshedVersion="7" minRefreshableVersion="3" recordCount="0" supportSubquery="1" supportAdvancedDrill="1" xr:uid="{ED8A8E2B-72E2-46FC-BCAC-A30A247B3B0D}">
  <cacheSource type="external" connectionId="3"/>
  <cacheFields count="2">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unt="1">
        <s v="2024"/>
      </sharedItems>
    </cacheField>
  </cacheFields>
  <cacheHierarchies count="34">
    <cacheHierarchy uniqueName="[Calender-Table].[Date]" caption="Date" attribute="1" time="1" defaultMemberUniqueName="[Calender-Table].[Date].[All]" allUniqueName="[Calender-Table].[Date].[All]" dimensionUniqueName="[Calender-Table]" displayFolder="" count="2"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2"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1"/>
      </fieldsUsage>
    </cacheHierarchy>
    <cacheHierarchy uniqueName="[Calender-Table].[Date (Quarter)]" caption="Date (Quarter)" attribute="1" defaultMemberUniqueName="[Calender-Table].[Date (Quarter)].[All]" allUniqueName="[Calender-Table].[Date (Quarter)].[All]" dimensionUniqueName="[Calender-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2"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2" memberValueDatatype="130" unbalanced="0"/>
    <cacheHierarchy uniqueName="[Calender-Table].[Date (Day Index)]" caption="Date (Day Index)" attribute="1" defaultMemberUniqueName="[Calender-Table].[Date (Day Index)].[All]" allUniqueName="[Calender-Table].[Date (Day Index)].[All]" dimensionUniqueName="[Calender-Table]" displayFolder="" count="2"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Table" uniqueName="[Calender-Table]" caption="Calender-Table"/>
    <dimension name="Hospital Emergency Room Data" uniqueName="[Hospital Emergency Room Data]" caption="Hospital Emergency Room Data"/>
    <dimension measure="1" name="Measures" uniqueName="[Measures]" caption="Measures"/>
  </dimensions>
  <measureGroups count="2">
    <measureGroup name="Calender-Table" caption="Calender-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3.636839004626" createdVersion="3" refreshedVersion="7" minRefreshableVersion="3" recordCount="0" supportSubquery="1" supportAdvancedDrill="1" xr:uid="{01291EE7-0377-42AA-B9ED-215C6299626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Group Age]" caption="Group Age" attribute="1" defaultMemberUniqueName="[Hospital Emergency Room Data].[Group Age].[All]" allUniqueName="[Hospital Emergency Room Data].[Group Age].[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Group Age]" caption="Count of Group Ag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479180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BA9E4C-FE9F-4CCB-9157-1C8FD3D66A0E}" name="PivotTable12" cacheId="884" applyNumberFormats="0" applyBorderFormats="0" applyFontFormats="0" applyPatternFormats="0" applyAlignmentFormats="0" applyWidthHeightFormats="1" dataCaption="Values" tag="926d7318-4068-4e63-a9a5-17c5dd4a06d7" updatedVersion="7" minRefreshableVersion="3" subtotalHiddenItems="1" itemPrintTitles="1" createdVersion="5" indent="0" outline="1" outlineData="1" multipleFieldFilters="0" chartFormat="21">
  <location ref="B94:B96"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3">
    <format dxfId="0">
      <pivotArea outline="0" collapsedLevelsAreSubtotals="1" fieldPosition="0"/>
    </format>
    <format dxfId="1">
      <pivotArea outline="0" collapsedLevelsAreSubtotals="1" fieldPosition="0"/>
    </format>
    <format dxfId="2">
      <pivotArea outline="0" collapsedLevelsAreSubtotals="1" fieldPosition="0"/>
    </format>
  </formats>
  <pivotHierarchies count="34">
    <pivotHierarchy dragToData="1"/>
    <pivotHierarchy multipleItemSelectionAllowed="1" dragToData="1">
      <members count="1" level="1">
        <member name="[Calender-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46B3D0-C984-474E-BAD8-3D58505D504D}" name="PivotTable11" cacheId="881" applyNumberFormats="0" applyBorderFormats="0" applyFontFormats="0" applyPatternFormats="0" applyAlignmentFormats="0" applyWidthHeightFormats="1" dataCaption="Values" tag="926d7318-4068-4e63-a9a5-17c5dd4a06d7" updatedVersion="7" minRefreshableVersion="3" subtotalHiddenItems="1" itemPrintTitles="1" createdVersion="5" indent="0" outline="1" outlineData="1" multipleFieldFilters="0" chartFormat="21">
  <location ref="B82:C9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i>
    <i>
      <x v="1"/>
    </i>
    <i>
      <x v="6"/>
    </i>
    <i>
      <x v="5"/>
    </i>
    <i>
      <x v="2"/>
    </i>
    <i>
      <x v="4"/>
    </i>
    <i t="grand">
      <x/>
    </i>
  </rowItems>
  <colItems count="1">
    <i/>
  </colItems>
  <dataFields count="1">
    <dataField name="Count of Department Referral" fld="1" subtotal="count" baseField="0" baseItem="0"/>
  </dataFields>
  <formats count="4">
    <format dxfId="3">
      <pivotArea outline="0" collapsedLevelsAreSubtotals="1" fieldPosition="0"/>
    </format>
    <format dxfId="4">
      <pivotArea outline="0" collapsedLevelsAreSubtotals="1" fieldPosition="0"/>
    </format>
    <format dxfId="5">
      <pivotArea outline="0" collapsedLevelsAreSubtotals="1" fieldPosition="0"/>
    </format>
    <format dxfId="6">
      <pivotArea collapsedLevelsAreSubtotals="1" fieldPosition="0">
        <references count="1">
          <reference field="2" count="0"/>
        </references>
      </pivotArea>
    </format>
  </formats>
  <chartFormats count="2">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1655F0-FA71-4BD1-B968-EADCE917AA63}" name="PivotTable10" cacheId="878" applyNumberFormats="0" applyBorderFormats="0" applyFontFormats="0" applyPatternFormats="0" applyAlignmentFormats="0" applyWidthHeightFormats="1" dataCaption="Values" tag="926d7318-4068-4e63-a9a5-17c5dd4a06d7" updatedVersion="7" minRefreshableVersion="3" subtotalHiddenItems="1" itemPrintTitles="1" createdVersion="5" indent="0" outline="1" outlineData="1" multipleFieldFilters="0" chartFormat="16">
  <location ref="B76:C7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7">
      <pivotArea outline="0" collapsedLevelsAreSubtotals="1" fieldPosition="0"/>
    </format>
    <format dxfId="8">
      <pivotArea outline="0" collapsedLevelsAreSubtotals="1" fieldPosition="0"/>
    </format>
    <format dxfId="9">
      <pivotArea outline="0" collapsedLevelsAreSubtotals="1" fieldPosition="0"/>
    </format>
  </formats>
  <chartFormats count="6">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 count="1" selected="0">
            <x v="0"/>
          </reference>
        </references>
      </pivotArea>
    </chartFormat>
    <chartFormat chart="13" format="3">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BDB014-2E10-4239-A2E7-B211F0168FAE}" name="PivotTable9" cacheId="875" applyNumberFormats="0" applyBorderFormats="0" applyFontFormats="0" applyPatternFormats="0" applyAlignmentFormats="0" applyWidthHeightFormats="1" dataCaption="Values" tag="926d7318-4068-4e63-a9a5-17c5dd4a06d7" updatedVersion="7" minRefreshableVersion="3" subtotalHiddenItems="1" itemPrintTitles="1" createdVersion="5" indent="0" outline="1" outlineData="1" multipleFieldFilters="0" chartFormat="12">
  <location ref="B70:C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3">
    <format dxfId="10">
      <pivotArea outline="0" collapsedLevelsAreSubtotals="1" fieldPosition="0"/>
    </format>
    <format dxfId="11">
      <pivotArea outline="0" collapsedLevelsAreSubtotals="1" fieldPosition="0"/>
    </format>
    <format dxfId="12">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4CEA2C-2CCA-47FD-9DC5-90488B551035}" name="PivotTable6" cacheId="872" applyNumberFormats="0" applyBorderFormats="0" applyFontFormats="0" applyPatternFormats="0" applyAlignmentFormats="0" applyWidthHeightFormats="1" dataCaption="Values" tag="926d7318-4068-4e63-a9a5-17c5dd4a06d7" updatedVersion="7" minRefreshableVersion="3" subtotalHiddenItems="1" itemPrintTitles="1" createdVersion="5" indent="0" outline="1" outlineData="1" multipleFieldFilters="0" chartFormat="4">
  <location ref="B55:C6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Group Age" fld="1" subtotal="count" baseField="0" baseItem="0"/>
  </dataFields>
  <formats count="5">
    <format dxfId="13">
      <pivotArea outline="0" collapsedLevelsAreSubtotals="1" fieldPosition="0"/>
    </format>
    <format dxfId="14">
      <pivotArea outline="0" collapsedLevelsAreSubtotals="1" fieldPosition="0"/>
    </format>
    <format dxfId="15">
      <pivotArea outline="0" collapsedLevelsAreSubtotals="1" fieldPosition="0"/>
    </format>
    <format dxfId="16">
      <pivotArea collapsedLevelsAreSubtotals="1" fieldPosition="0">
        <references count="1">
          <reference field="2" count="1">
            <x v="0"/>
          </reference>
        </references>
      </pivotArea>
    </format>
    <format dxfId="17">
      <pivotArea collapsedLevelsAreSubtotals="1" fieldPosition="0">
        <references count="1">
          <reference field="2" count="7">
            <x v="1"/>
            <x v="2"/>
            <x v="3"/>
            <x v="4"/>
            <x v="5"/>
            <x v="6"/>
            <x v="7"/>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76F492-9BAB-45D6-BF53-2179B5E50CB4}" name="PivotTable5" cacheId="869" applyNumberFormats="0" applyBorderFormats="0" applyFontFormats="0" applyPatternFormats="0" applyAlignmentFormats="0" applyWidthHeightFormats="1" dataCaption="Values" tag="926d7318-4068-4e63-a9a5-17c5dd4a06d7" updatedVersion="7" minRefreshableVersion="3" subtotalHiddenItems="1" itemPrintTitles="1" createdVersion="5" indent="0" outline="1" outlineData="1" multipleFieldFilters="0" chartFormat="1">
  <location ref="B41:D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5">
    <format dxfId="18">
      <pivotArea outline="0" collapsedLevelsAreSubtotals="1" fieldPosition="0"/>
    </format>
    <format dxfId="19">
      <pivotArea outline="0" collapsedLevelsAreSubtotals="1" fieldPosition="0"/>
    </format>
    <format dxfId="20">
      <pivotArea outline="0" collapsedLevelsAreSubtotals="1" fieldPosition="0"/>
    </format>
    <format dxfId="21">
      <pivotArea collapsedLevelsAreSubtotals="1" fieldPosition="0">
        <references count="1">
          <reference field="2" count="0"/>
        </references>
      </pivotArea>
    </format>
    <format dxfId="2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DE336F-0016-4D42-939C-5B2E94A7D54B}" name="PivotTable3" cacheId="860" applyNumberFormats="0" applyBorderFormats="0" applyFontFormats="0" applyPatternFormats="0" applyAlignmentFormats="0" applyWidthHeightFormats="1" dataCaption="Values" tag="926d7318-4068-4e63-a9a5-17c5dd4a06d7" updatedVersion="7" minRefreshableVersion="3" subtotalHiddenItems="1" itemPrintTitles="1" createdVersion="5" indent="0" outline="1" outlineData="1" multipleFieldFilters="0">
  <location ref="B16:B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3">
    <format dxfId="33">
      <pivotArea outline="0" collapsedLevelsAreSubtotals="1" fieldPosition="0"/>
    </format>
    <format dxfId="34">
      <pivotArea outline="0" collapsedLevelsAreSubtotals="1" fieldPosition="0"/>
    </format>
    <format dxfId="35">
      <pivotArea outline="0" collapsedLevelsAreSubtotals="1" fieldPosition="0"/>
    </format>
  </formats>
  <pivotHierarchies count="34">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7C1313-4674-4B84-95A4-31D7D663754C}" name="PivotTable8" cacheId="866" applyNumberFormats="0" applyBorderFormats="0" applyFontFormats="0" applyPatternFormats="0" applyAlignmentFormats="0" applyWidthHeightFormats="1" dataCaption="Values" tag="f779b226-52b8-4877-9678-b960dcd9b4c9" updatedVersion="7" minRefreshableVersion="3" useAutoFormatting="1" subtotalHiddenItems="1" itemPrintTitles="1" createdVersion="5" indent="0" outline="1" outlineData="1" multipleFieldFilters="0" chartFormat="28">
  <location ref="M5:N37" firstHeaderRow="1" firstDataRow="1" firstDataCol="1"/>
  <pivotFields count="4">
    <pivotField axis="axisRow" allDrilled="1" subtotalTop="0" showAll="0" defaultSubtotal="0" defaultAttributeDrillState="1">
      <items count="153">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93"/>
        <item x="94"/>
        <item x="95"/>
        <item x="96"/>
        <item x="97"/>
        <item x="98"/>
        <item x="99"/>
        <item x="100"/>
        <item x="101"/>
        <item x="102"/>
        <item x="103"/>
        <item x="104"/>
        <item x="105"/>
        <item x="106"/>
        <item x="107"/>
        <item x="108"/>
        <item x="109"/>
        <item x="110"/>
        <item x="111"/>
        <item x="112"/>
        <item x="113"/>
        <item x="114"/>
        <item x="115"/>
        <item x="116"/>
        <item x="117"/>
        <item x="152"/>
        <item x="118"/>
        <item x="119"/>
        <item x="120"/>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t="grand">
      <x/>
    </i>
  </rowItems>
  <colItems count="1">
    <i/>
  </colItems>
  <dataFields count="1">
    <dataField name="Sum of Patient Satisfaction Score" fld="2" baseField="0" baseItem="0"/>
  </dataFields>
  <formats count="5">
    <format dxfId="23">
      <pivotArea outline="0" collapsedLevelsAreSubtotals="1" fieldPosition="0"/>
    </format>
    <format dxfId="24">
      <pivotArea outline="0" collapsedLevelsAreSubtotals="1" fieldPosition="0"/>
    </format>
    <format dxfId="25">
      <pivotArea collapsedLevelsAreSubtotals="1" fieldPosition="0">
        <references count="1">
          <reference field="0" count="1">
            <x v="0"/>
          </reference>
        </references>
      </pivotArea>
    </format>
    <format dxfId="26">
      <pivotArea collapsedLevelsAreSubtotals="1" fieldPosition="0">
        <references count="1">
          <reference field="0" count="121">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reference>
        </references>
      </pivotArea>
    </format>
    <format dxfId="27">
      <pivotArea grandRow="1" outline="0" collapsedLevelsAreSubtotals="1" fieldPosition="0"/>
    </format>
  </formats>
  <chartFormats count="3">
    <chartFormat chart="23"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18AC81-4CDB-4609-8C96-F69A1E44F102}" name="PivotTable7" cacheId="863" applyNumberFormats="0" applyBorderFormats="0" applyFontFormats="0" applyPatternFormats="0" applyAlignmentFormats="0" applyWidthHeightFormats="1" dataCaption="Values" tag="8060dc9a-b452-4af3-b022-ce368cb6a356" updatedVersion="7" minRefreshableVersion="3" useAutoFormatting="1" subtotalHiddenItems="1" itemPrintTitles="1" createdVersion="5" indent="0" outline="1" outlineData="1" multipleFieldFilters="0" chartFormat="21">
  <location ref="I5:J37" firstHeaderRow="1" firstDataRow="1" firstDataCol="1"/>
  <pivotFields count="4">
    <pivotField axis="axisRow" allDrilled="1" subtotalTop="0" showAll="0" defaultSubtotal="0" defaultAttributeDrillState="1">
      <items count="153">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t="grand">
      <x/>
    </i>
  </rowItems>
  <colItems count="1">
    <i/>
  </colItems>
  <dataFields count="1">
    <dataField name="Average of Patient Waittime" fld="2" subtotal="average" baseField="0" baseItem="0"/>
  </dataFields>
  <formats count="5">
    <format dxfId="28">
      <pivotArea outline="0" collapsedLevelsAreSubtotals="1" fieldPosition="0"/>
    </format>
    <format dxfId="29">
      <pivotArea outline="0" collapsedLevelsAreSubtotals="1" fieldPosition="0"/>
    </format>
    <format dxfId="30">
      <pivotArea collapsedLevelsAreSubtotals="1" fieldPosition="0">
        <references count="1">
          <reference field="0" count="1">
            <x v="0"/>
          </reference>
        </references>
      </pivotArea>
    </format>
    <format dxfId="31">
      <pivotArea collapsedLevelsAreSubtotals="1" fieldPosition="0">
        <references count="1">
          <reference field="0" count="121">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reference>
        </references>
      </pivotArea>
    </format>
    <format dxfId="32">
      <pivotArea grandRow="1"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571393-9E13-4BDC-8C9E-79C5AE055C96}" name="PivotTable4" cacheId="851" applyNumberFormats="0" applyBorderFormats="0" applyFontFormats="0" applyPatternFormats="0" applyAlignmentFormats="0" applyWidthHeightFormats="1" dataCaption="Values" tag="b27eb6c5-d4fc-40de-a76b-79cb53a7635c" updatedVersion="7" minRefreshableVersion="3" useAutoFormatting="1" subtotalHiddenItems="1" itemPrintTitles="1" createdVersion="5" indent="0" outline="1" outlineData="1" multipleFieldFilters="0" chartFormat="11">
  <location ref="F5:G37" firstHeaderRow="1" firstDataRow="1" firstDataCol="1"/>
  <pivotFields count="4">
    <pivotField dataField="1" subtotalTop="0" showAll="0" defaultSubtotal="0"/>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formats count="2">
    <format dxfId="41">
      <pivotArea outline="0" collapsedLevelsAreSubtotals="1" fieldPosition="0"/>
    </format>
    <format dxfId="42">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B7521C-C029-4B7E-BDFC-7874AA2AE5C0}" name="PivotTable2" cacheId="857" applyNumberFormats="0" applyBorderFormats="0" applyFontFormats="0" applyPatternFormats="0" applyAlignmentFormats="0" applyWidthHeightFormats="1" dataCaption="Values" tag="27dccede-c826-492d-b377-84b66f50620b" updatedVersion="7" minRefreshableVersion="3" subtotalHiddenItems="1" itemPrintTitles="1" createdVersion="5" indent="0" outline="1" outlineData="1" multipleFieldFilters="0">
  <location ref="B11:B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3">
    <format dxfId="36">
      <pivotArea outline="0" collapsedLevelsAreSubtotals="1" fieldPosition="0"/>
    </format>
    <format dxfId="37">
      <pivotArea outline="0" collapsedLevelsAreSubtotals="1" fieldPosition="0"/>
    </format>
    <format dxfId="38">
      <pivotArea outline="0" collapsedLevelsAreSubtotals="1" fieldPosition="0"/>
    </format>
  </formats>
  <pivotHierarchies count="34">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AC9455-A7B2-47A5-B1F6-995978FB5964}" name="PivotTable1" cacheId="854" applyNumberFormats="0" applyBorderFormats="0" applyFontFormats="0" applyPatternFormats="0" applyAlignmentFormats="0" applyWidthHeightFormats="1" dataCaption="Values" tag="3937ccd6-ce7c-4256-b3b3-749c187fd59f" updatedVersion="7" minRefreshableVersion="3" subtotalHiddenItems="1" itemPrintTitles="1" createdVersion="5" indent="0" outline="1" outlineData="1" multipleFieldFilters="0">
  <location ref="B5:B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formats count="2">
    <format dxfId="39">
      <pivotArea outline="0" collapsedLevelsAreSubtotals="1" fieldPosition="0"/>
    </format>
    <format dxfId="40">
      <pivotArea outline="0" collapsedLevelsAreSubtotals="1" fieldPosition="0"/>
    </format>
  </formats>
  <pivotHierarchies count="34">
    <pivotHierarchy dragToData="1"/>
    <pivotHierarchy multipleItemSelectionAllowed="1" dragToData="1">
      <members count="1" level="1">
        <member name="[Calender-Table].[Date (Month)].&amp;[Jul]"/>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F47E590-EEB0-4A93-A888-F9540746FDDA}" sourceName="[Calender-Table].[Date (Month)]">
  <pivotTables>
    <pivotTable tabId="1" name="PivotTable4"/>
    <pivotTable tabId="1" name="PivotTable1"/>
    <pivotTable tabId="1" name="PivotTable2"/>
    <pivotTable tabId="1" name="PivotTable3"/>
    <pivotTable tabId="1" name="PivotTable7"/>
    <pivotTable tabId="1" name="PivotTable8"/>
    <pivotTable tabId="1" name="PivotTable5"/>
    <pivotTable tabId="1" name="PivotTable6"/>
    <pivotTable tabId="1" name="PivotTable9"/>
    <pivotTable tabId="1" name="PivotTable10"/>
    <pivotTable tabId="1" name="PivotTable11"/>
    <pivotTable tabId="1" name="PivotTable12"/>
  </pivotTables>
  <data>
    <olap pivotCacheId="1547918046">
      <levels count="2">
        <level uniqueName="[Calender-Table].[Date (Month)].[(All)]" sourceCaption="(All)" count="0"/>
        <level uniqueName="[Calender-Table].[Date (Month)].[Date (Month)]" sourceCaption="Date (Month)" count="12">
          <ranges>
            <range startItem="0">
              <i n="[Calender-Table].[Date (Month)].&amp;[Jan]" c="Jan"/>
              <i n="[Calender-Table].[Date (Month)].&amp;[Feb]" c="Feb"/>
              <i n="[Calender-Table].[Date (Month)].&amp;[Mar]" c="Mar"/>
              <i n="[Calender-Table].[Date (Month)].&amp;[Apr]" c="Apr"/>
              <i n="[Calender-Table].[Date (Month)].&amp;[May]" c="May"/>
              <i n="[Calender-Table].[Date (Month)].&amp;[Jun]" c="Jun"/>
              <i n="[Calender-Table].[Date (Month)].&amp;[Jul]" c="Jul"/>
              <i n="[Calender-Table].[Date (Month)].&amp;[Aug]" c="Aug"/>
              <i n="[Calender-Table].[Date (Month)].&amp;[Sep]" c="Sep"/>
              <i n="[Calender-Table].[Date (Month)].&amp;[Oct]" c="Oct"/>
              <i n="[Calender-Table].[Date (Month)].&amp;[Nov]" c="Nov" nd="1"/>
              <i n="[Calender-Table].[Date (Month)].&amp;[Dec]" c="Dec" nd="1"/>
            </range>
          </ranges>
        </level>
      </levels>
      <selections count="1">
        <selection n="[Calender-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BB6F1A9-81C7-4927-8BEA-16021F9B9D04}" sourceName="[Calender-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547918046">
      <levels count="2">
        <level uniqueName="[Calender-Table].[Date (Year)].[(All)]" sourceCaption="(All)" count="0"/>
        <level uniqueName="[Calender-Table].[Date (Year)].[Date (Year)]" sourceCaption="Date (Year)" count="2">
          <ranges>
            <range startItem="0">
              <i n="[Calender-Table].[Date (Year)].&amp;[2023]" c="2023"/>
              <i n="[Calender-Table].[Date (Year)].&amp;[2024]" c="2024"/>
            </range>
          </ranges>
        </level>
      </levels>
      <selections count="1">
        <selection n="[Calender-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38171C1-1F32-431C-A440-0947970D3E68}" cache="Slicer_Date__Month" caption="Date (Month)" showCaption="0" level="1" style="My style-2" rowHeight="252000"/>
  <slicer name="Date (Year)" xr10:uid="{1EC56D16-5B61-4829-8923-DEE1B86B0105}" cache="Slicer_Date__Year" caption="Date (Year)" columnCount="2" showCaption="0" level="1" style="My style-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A1E8E-FA0D-410A-92B9-8320527993A8}">
  <dimension ref="B4:N412"/>
  <sheetViews>
    <sheetView tabSelected="1" topLeftCell="A68" workbookViewId="0">
      <selection activeCell="E95" sqref="E95"/>
    </sheetView>
  </sheetViews>
  <sheetFormatPr defaultRowHeight="14.4" x14ac:dyDescent="0.3"/>
  <cols>
    <col min="2" max="2" width="21" customWidth="1"/>
    <col min="3" max="3" width="20.33203125" customWidth="1"/>
    <col min="4" max="4" width="15.21875" customWidth="1"/>
    <col min="5" max="5" width="34.77734375" customWidth="1"/>
    <col min="6" max="6" width="12.5546875" bestFit="1" customWidth="1"/>
    <col min="7" max="7" width="17" bestFit="1" customWidth="1"/>
    <col min="8" max="8" width="23" customWidth="1"/>
    <col min="9" max="9" width="12.5546875" bestFit="1" customWidth="1"/>
    <col min="10" max="10" width="25" bestFit="1" customWidth="1"/>
    <col min="13" max="13" width="12.5546875" bestFit="1" customWidth="1"/>
    <col min="14" max="14" width="29.21875" bestFit="1" customWidth="1"/>
  </cols>
  <sheetData>
    <row r="4" spans="2:14" x14ac:dyDescent="0.3">
      <c r="F4" t="s">
        <v>5</v>
      </c>
      <c r="I4" t="s">
        <v>6</v>
      </c>
      <c r="M4" t="s">
        <v>10</v>
      </c>
    </row>
    <row r="5" spans="2:14" x14ac:dyDescent="0.3">
      <c r="B5" t="s">
        <v>0</v>
      </c>
      <c r="F5" s="3" t="s">
        <v>3</v>
      </c>
      <c r="G5" t="s">
        <v>0</v>
      </c>
      <c r="I5" s="3" t="s">
        <v>3</v>
      </c>
      <c r="J5" t="s">
        <v>1</v>
      </c>
      <c r="M5" s="3" t="s">
        <v>3</v>
      </c>
      <c r="N5" t="s">
        <v>11</v>
      </c>
    </row>
    <row r="6" spans="2:14" ht="18" x14ac:dyDescent="0.35">
      <c r="B6" s="1">
        <v>488</v>
      </c>
      <c r="F6" s="4" t="s">
        <v>28</v>
      </c>
      <c r="G6" s="1">
        <v>17</v>
      </c>
      <c r="I6" s="4" t="s">
        <v>28</v>
      </c>
      <c r="J6" s="1">
        <v>36.941176470588232</v>
      </c>
      <c r="M6" s="4" t="s">
        <v>28</v>
      </c>
      <c r="N6" s="1">
        <v>33</v>
      </c>
    </row>
    <row r="7" spans="2:14" ht="18" x14ac:dyDescent="0.35">
      <c r="F7" s="4" t="s">
        <v>29</v>
      </c>
      <c r="G7" s="1">
        <v>19</v>
      </c>
      <c r="I7" s="4" t="s">
        <v>29</v>
      </c>
      <c r="J7" s="1">
        <v>30.842105263157894</v>
      </c>
      <c r="M7" s="4" t="s">
        <v>29</v>
      </c>
      <c r="N7" s="1">
        <v>16</v>
      </c>
    </row>
    <row r="8" spans="2:14" ht="18" x14ac:dyDescent="0.35">
      <c r="F8" s="4" t="s">
        <v>30</v>
      </c>
      <c r="G8" s="1">
        <v>12</v>
      </c>
      <c r="I8" s="4" t="s">
        <v>30</v>
      </c>
      <c r="J8" s="1">
        <v>31.833333333333332</v>
      </c>
      <c r="M8" s="4" t="s">
        <v>30</v>
      </c>
      <c r="N8" s="1">
        <v>19</v>
      </c>
    </row>
    <row r="9" spans="2:14" ht="18" x14ac:dyDescent="0.35">
      <c r="F9" s="4" t="s">
        <v>31</v>
      </c>
      <c r="G9" s="1">
        <v>9</v>
      </c>
      <c r="I9" s="4" t="s">
        <v>31</v>
      </c>
      <c r="J9" s="1">
        <v>33.777777777777779</v>
      </c>
      <c r="M9" s="4" t="s">
        <v>31</v>
      </c>
      <c r="N9" s="1">
        <v>8</v>
      </c>
    </row>
    <row r="10" spans="2:14" ht="18" x14ac:dyDescent="0.35">
      <c r="F10" s="4" t="s">
        <v>32</v>
      </c>
      <c r="G10" s="1">
        <v>15</v>
      </c>
      <c r="I10" s="4" t="s">
        <v>32</v>
      </c>
      <c r="J10" s="1">
        <v>30.466666666666665</v>
      </c>
      <c r="M10" s="4" t="s">
        <v>32</v>
      </c>
      <c r="N10" s="1">
        <v>32</v>
      </c>
    </row>
    <row r="11" spans="2:14" ht="18" x14ac:dyDescent="0.35">
      <c r="B11" t="s">
        <v>1</v>
      </c>
      <c r="F11" s="4" t="s">
        <v>33</v>
      </c>
      <c r="G11" s="1">
        <v>10</v>
      </c>
      <c r="I11" s="4" t="s">
        <v>33</v>
      </c>
      <c r="J11" s="1">
        <v>38.799999999999997</v>
      </c>
      <c r="M11" s="4" t="s">
        <v>33</v>
      </c>
      <c r="N11" s="1">
        <v>7</v>
      </c>
    </row>
    <row r="12" spans="2:14" ht="18" x14ac:dyDescent="0.35">
      <c r="B12" s="2">
        <v>35.19877049180328</v>
      </c>
      <c r="F12" s="4" t="s">
        <v>34</v>
      </c>
      <c r="G12" s="1">
        <v>18</v>
      </c>
      <c r="I12" s="4" t="s">
        <v>34</v>
      </c>
      <c r="J12" s="1">
        <v>30.277777777777779</v>
      </c>
      <c r="M12" s="4" t="s">
        <v>34</v>
      </c>
      <c r="N12" s="1">
        <v>14</v>
      </c>
    </row>
    <row r="13" spans="2:14" ht="18" x14ac:dyDescent="0.35">
      <c r="F13" s="4" t="s">
        <v>35</v>
      </c>
      <c r="G13" s="1">
        <v>19</v>
      </c>
      <c r="I13" s="4" t="s">
        <v>35</v>
      </c>
      <c r="J13" s="1">
        <v>35.157894736842103</v>
      </c>
      <c r="M13" s="4" t="s">
        <v>35</v>
      </c>
      <c r="N13" s="1">
        <v>28</v>
      </c>
    </row>
    <row r="14" spans="2:14" ht="18" x14ac:dyDescent="0.35">
      <c r="F14" s="4" t="s">
        <v>36</v>
      </c>
      <c r="G14" s="1">
        <v>19</v>
      </c>
      <c r="I14" s="4" t="s">
        <v>36</v>
      </c>
      <c r="J14" s="1">
        <v>37.94736842105263</v>
      </c>
      <c r="M14" s="4" t="s">
        <v>36</v>
      </c>
      <c r="N14" s="1">
        <v>32</v>
      </c>
    </row>
    <row r="15" spans="2:14" ht="18" x14ac:dyDescent="0.35">
      <c r="F15" s="4" t="s">
        <v>37</v>
      </c>
      <c r="G15" s="1">
        <v>13</v>
      </c>
      <c r="I15" s="4" t="s">
        <v>37</v>
      </c>
      <c r="J15" s="1">
        <v>33.92307692307692</v>
      </c>
      <c r="M15" s="4" t="s">
        <v>37</v>
      </c>
      <c r="N15" s="1">
        <v>14</v>
      </c>
    </row>
    <row r="16" spans="2:14" ht="18" x14ac:dyDescent="0.35">
      <c r="B16" t="s">
        <v>2</v>
      </c>
      <c r="F16" s="4" t="s">
        <v>38</v>
      </c>
      <c r="G16" s="1">
        <v>15</v>
      </c>
      <c r="I16" s="4" t="s">
        <v>38</v>
      </c>
      <c r="J16" s="1">
        <v>33.200000000000003</v>
      </c>
      <c r="M16" s="4" t="s">
        <v>38</v>
      </c>
      <c r="N16" s="1">
        <v>39</v>
      </c>
    </row>
    <row r="17" spans="2:14" ht="18" x14ac:dyDescent="0.35">
      <c r="B17" s="2">
        <v>4.7876712328767121</v>
      </c>
      <c r="F17" s="4" t="s">
        <v>39</v>
      </c>
      <c r="G17" s="1">
        <v>25</v>
      </c>
      <c r="I17" s="4" t="s">
        <v>39</v>
      </c>
      <c r="J17" s="1">
        <v>40.159999999999997</v>
      </c>
      <c r="M17" s="4" t="s">
        <v>39</v>
      </c>
      <c r="N17" s="1">
        <v>37</v>
      </c>
    </row>
    <row r="18" spans="2:14" ht="18" x14ac:dyDescent="0.35">
      <c r="F18" s="4" t="s">
        <v>40</v>
      </c>
      <c r="G18" s="1">
        <v>19</v>
      </c>
      <c r="I18" s="4" t="s">
        <v>40</v>
      </c>
      <c r="J18" s="1">
        <v>41.578947368421055</v>
      </c>
      <c r="M18" s="4" t="s">
        <v>40</v>
      </c>
      <c r="N18" s="1">
        <v>13</v>
      </c>
    </row>
    <row r="19" spans="2:14" ht="18" x14ac:dyDescent="0.35">
      <c r="F19" s="4" t="s">
        <v>41</v>
      </c>
      <c r="G19" s="1">
        <v>15</v>
      </c>
      <c r="I19" s="4" t="s">
        <v>41</v>
      </c>
      <c r="J19" s="1">
        <v>36.866666666666667</v>
      </c>
      <c r="M19" s="4" t="s">
        <v>41</v>
      </c>
      <c r="N19" s="1">
        <v>15</v>
      </c>
    </row>
    <row r="20" spans="2:14" ht="18" x14ac:dyDescent="0.35">
      <c r="F20" s="4" t="s">
        <v>42</v>
      </c>
      <c r="G20" s="1">
        <v>14</v>
      </c>
      <c r="I20" s="4" t="s">
        <v>42</v>
      </c>
      <c r="J20" s="1">
        <v>33.714285714285715</v>
      </c>
      <c r="M20" s="4" t="s">
        <v>42</v>
      </c>
      <c r="N20" s="1">
        <v>13</v>
      </c>
    </row>
    <row r="21" spans="2:14" ht="18" x14ac:dyDescent="0.35">
      <c r="F21" s="4" t="s">
        <v>43</v>
      </c>
      <c r="G21" s="1">
        <v>20</v>
      </c>
      <c r="I21" s="4" t="s">
        <v>43</v>
      </c>
      <c r="J21" s="1">
        <v>33.700000000000003</v>
      </c>
      <c r="M21" s="4" t="s">
        <v>43</v>
      </c>
      <c r="N21" s="1">
        <v>10</v>
      </c>
    </row>
    <row r="22" spans="2:14" ht="18" x14ac:dyDescent="0.35">
      <c r="F22" s="4" t="s">
        <v>44</v>
      </c>
      <c r="G22" s="1">
        <v>14</v>
      </c>
      <c r="I22" s="4" t="s">
        <v>44</v>
      </c>
      <c r="J22" s="1">
        <v>34.642857142857146</v>
      </c>
      <c r="M22" s="4" t="s">
        <v>44</v>
      </c>
      <c r="N22" s="1">
        <v>18</v>
      </c>
    </row>
    <row r="23" spans="2:14" ht="18" x14ac:dyDescent="0.35">
      <c r="F23" s="4" t="s">
        <v>45</v>
      </c>
      <c r="G23" s="1">
        <v>14</v>
      </c>
      <c r="I23" s="4" t="s">
        <v>45</v>
      </c>
      <c r="J23" s="1">
        <v>36.5</v>
      </c>
      <c r="M23" s="4" t="s">
        <v>45</v>
      </c>
      <c r="N23" s="1">
        <v>15</v>
      </c>
    </row>
    <row r="24" spans="2:14" ht="18" x14ac:dyDescent="0.35">
      <c r="F24" s="4" t="s">
        <v>46</v>
      </c>
      <c r="G24" s="1">
        <v>17</v>
      </c>
      <c r="I24" s="4" t="s">
        <v>46</v>
      </c>
      <c r="J24" s="1">
        <v>33.058823529411768</v>
      </c>
      <c r="M24" s="4" t="s">
        <v>46</v>
      </c>
      <c r="N24" s="1">
        <v>25</v>
      </c>
    </row>
    <row r="25" spans="2:14" ht="18" x14ac:dyDescent="0.35">
      <c r="F25" s="4" t="s">
        <v>47</v>
      </c>
      <c r="G25" s="1">
        <v>16</v>
      </c>
      <c r="I25" s="4" t="s">
        <v>47</v>
      </c>
      <c r="J25" s="1">
        <v>33.5625</v>
      </c>
      <c r="M25" s="4" t="s">
        <v>47</v>
      </c>
      <c r="N25" s="1">
        <v>30</v>
      </c>
    </row>
    <row r="26" spans="2:14" ht="18" x14ac:dyDescent="0.35">
      <c r="F26" s="4" t="s">
        <v>48</v>
      </c>
      <c r="G26" s="1">
        <v>18</v>
      </c>
      <c r="I26" s="4" t="s">
        <v>48</v>
      </c>
      <c r="J26" s="1">
        <v>31.555555555555557</v>
      </c>
      <c r="M26" s="4" t="s">
        <v>48</v>
      </c>
      <c r="N26" s="1">
        <v>14</v>
      </c>
    </row>
    <row r="27" spans="2:14" ht="18" x14ac:dyDescent="0.35">
      <c r="F27" s="4" t="s">
        <v>49</v>
      </c>
      <c r="G27" s="1">
        <v>8</v>
      </c>
      <c r="I27" s="4" t="s">
        <v>49</v>
      </c>
      <c r="J27" s="1">
        <v>38.375</v>
      </c>
      <c r="M27" s="4" t="s">
        <v>49</v>
      </c>
      <c r="N27" s="1">
        <v>15</v>
      </c>
    </row>
    <row r="28" spans="2:14" ht="18" x14ac:dyDescent="0.35">
      <c r="F28" s="4" t="s">
        <v>50</v>
      </c>
      <c r="G28" s="1">
        <v>17</v>
      </c>
      <c r="I28" s="4" t="s">
        <v>50</v>
      </c>
      <c r="J28" s="1">
        <v>35.411764705882355</v>
      </c>
      <c r="M28" s="4" t="s">
        <v>50</v>
      </c>
      <c r="N28" s="1">
        <v>13</v>
      </c>
    </row>
    <row r="29" spans="2:14" ht="18" x14ac:dyDescent="0.35">
      <c r="F29" s="4" t="s">
        <v>51</v>
      </c>
      <c r="G29" s="1">
        <v>11</v>
      </c>
      <c r="I29" s="4" t="s">
        <v>51</v>
      </c>
      <c r="J29" s="1">
        <v>34.909090909090907</v>
      </c>
      <c r="M29" s="4" t="s">
        <v>51</v>
      </c>
      <c r="N29" s="1">
        <v>14</v>
      </c>
    </row>
    <row r="30" spans="2:14" ht="18" x14ac:dyDescent="0.35">
      <c r="F30" s="4" t="s">
        <v>52</v>
      </c>
      <c r="G30" s="1">
        <v>15</v>
      </c>
      <c r="I30" s="4" t="s">
        <v>52</v>
      </c>
      <c r="J30" s="1">
        <v>35.133333333333333</v>
      </c>
      <c r="M30" s="4" t="s">
        <v>52</v>
      </c>
      <c r="N30" s="1">
        <v>18</v>
      </c>
    </row>
    <row r="31" spans="2:14" ht="18" x14ac:dyDescent="0.35">
      <c r="F31" s="4" t="s">
        <v>53</v>
      </c>
      <c r="G31" s="1">
        <v>13</v>
      </c>
      <c r="I31" s="4" t="s">
        <v>53</v>
      </c>
      <c r="J31" s="1">
        <v>35.07692307692308</v>
      </c>
      <c r="M31" s="4" t="s">
        <v>53</v>
      </c>
      <c r="N31" s="1">
        <v>6</v>
      </c>
    </row>
    <row r="32" spans="2:14" ht="18" x14ac:dyDescent="0.35">
      <c r="F32" s="4" t="s">
        <v>54</v>
      </c>
      <c r="G32" s="1">
        <v>17</v>
      </c>
      <c r="I32" s="4" t="s">
        <v>54</v>
      </c>
      <c r="J32" s="1">
        <v>35.352941176470587</v>
      </c>
      <c r="M32" s="4" t="s">
        <v>54</v>
      </c>
      <c r="N32" s="1">
        <v>62</v>
      </c>
    </row>
    <row r="33" spans="2:14" ht="18" x14ac:dyDescent="0.35">
      <c r="F33" s="4" t="s">
        <v>55</v>
      </c>
      <c r="G33" s="1">
        <v>20</v>
      </c>
      <c r="I33" s="4" t="s">
        <v>55</v>
      </c>
      <c r="J33" s="1">
        <v>36.6</v>
      </c>
      <c r="M33" s="4" t="s">
        <v>55</v>
      </c>
      <c r="N33" s="1">
        <v>46</v>
      </c>
    </row>
    <row r="34" spans="2:14" ht="18" x14ac:dyDescent="0.35">
      <c r="F34" s="4" t="s">
        <v>56</v>
      </c>
      <c r="G34" s="1">
        <v>20</v>
      </c>
      <c r="I34" s="4" t="s">
        <v>56</v>
      </c>
      <c r="J34" s="1">
        <v>35.799999999999997</v>
      </c>
      <c r="M34" s="4" t="s">
        <v>56</v>
      </c>
      <c r="N34" s="1">
        <v>41</v>
      </c>
    </row>
    <row r="35" spans="2:14" ht="18" x14ac:dyDescent="0.35">
      <c r="F35" s="4" t="s">
        <v>57</v>
      </c>
      <c r="G35" s="1">
        <v>13</v>
      </c>
      <c r="I35" s="4" t="s">
        <v>57</v>
      </c>
      <c r="J35" s="1">
        <v>30.307692307692307</v>
      </c>
      <c r="M35" s="4" t="s">
        <v>57</v>
      </c>
      <c r="N35" s="1">
        <v>25</v>
      </c>
    </row>
    <row r="36" spans="2:14" ht="18" x14ac:dyDescent="0.35">
      <c r="F36" s="4" t="s">
        <v>58</v>
      </c>
      <c r="G36" s="1">
        <v>16</v>
      </c>
      <c r="I36" s="4" t="s">
        <v>58</v>
      </c>
      <c r="J36" s="1">
        <v>42.75</v>
      </c>
      <c r="M36" s="4" t="s">
        <v>58</v>
      </c>
      <c r="N36" s="1">
        <v>27</v>
      </c>
    </row>
    <row r="37" spans="2:14" ht="18" x14ac:dyDescent="0.35">
      <c r="F37" s="4" t="s">
        <v>4</v>
      </c>
      <c r="G37" s="1">
        <v>488</v>
      </c>
      <c r="I37" s="4" t="s">
        <v>4</v>
      </c>
      <c r="J37" s="5">
        <v>35.19877049180328</v>
      </c>
      <c r="M37" s="4" t="s">
        <v>4</v>
      </c>
      <c r="N37" s="5">
        <v>699</v>
      </c>
    </row>
    <row r="41" spans="2:14" x14ac:dyDescent="0.3">
      <c r="B41" s="3" t="s">
        <v>3</v>
      </c>
      <c r="C41" t="s">
        <v>12</v>
      </c>
      <c r="D41" t="s">
        <v>15</v>
      </c>
    </row>
    <row r="42" spans="2:14" ht="18" x14ac:dyDescent="0.35">
      <c r="B42" s="4" t="s">
        <v>13</v>
      </c>
      <c r="C42" s="11">
        <v>266</v>
      </c>
      <c r="D42" s="12">
        <v>0.54508196721311475</v>
      </c>
    </row>
    <row r="43" spans="2:14" ht="18" x14ac:dyDescent="0.35">
      <c r="B43" s="4" t="s">
        <v>14</v>
      </c>
      <c r="C43" s="11">
        <v>222</v>
      </c>
      <c r="D43" s="12">
        <v>0.45491803278688525</v>
      </c>
    </row>
    <row r="44" spans="2:14" ht="18" x14ac:dyDescent="0.35">
      <c r="B44" s="4" t="s">
        <v>4</v>
      </c>
      <c r="C44" s="2">
        <v>488</v>
      </c>
      <c r="D44" s="12">
        <v>1</v>
      </c>
    </row>
    <row r="45" spans="2:14" ht="18" x14ac:dyDescent="0.35"/>
    <row r="46" spans="2:14" ht="18" x14ac:dyDescent="0.35"/>
    <row r="47" spans="2:14" ht="18" x14ac:dyDescent="0.35"/>
    <row r="48" spans="2:14" ht="15.6" x14ac:dyDescent="0.3">
      <c r="B48" s="16" t="s">
        <v>16</v>
      </c>
      <c r="C48" s="16" t="s">
        <v>18</v>
      </c>
      <c r="D48" s="16" t="s">
        <v>17</v>
      </c>
      <c r="E48" s="17"/>
    </row>
    <row r="49" spans="2:5" ht="18" x14ac:dyDescent="0.35">
      <c r="B49" s="13" t="str">
        <f>B43</f>
        <v>Not Admitted</v>
      </c>
      <c r="C49" s="13">
        <f>C43</f>
        <v>222</v>
      </c>
      <c r="D49" s="14">
        <f>D43</f>
        <v>0.45491803278688525</v>
      </c>
      <c r="E49" s="15"/>
    </row>
    <row r="50" spans="2:5" ht="18" x14ac:dyDescent="0.35">
      <c r="B50" s="13" t="str">
        <f>B42</f>
        <v>Admitted</v>
      </c>
      <c r="C50" s="13">
        <f>C42</f>
        <v>266</v>
      </c>
      <c r="D50" s="14">
        <f>D42</f>
        <v>0.54508196721311475</v>
      </c>
      <c r="E50" s="15"/>
    </row>
    <row r="51" spans="2:5" ht="18" x14ac:dyDescent="0.35"/>
    <row r="52" spans="2:5" ht="18" x14ac:dyDescent="0.35"/>
    <row r="53" spans="2:5" ht="18" x14ac:dyDescent="0.35"/>
    <row r="54" spans="2:5" ht="18" x14ac:dyDescent="0.35">
      <c r="B54" t="s">
        <v>59</v>
      </c>
    </row>
    <row r="55" spans="2:5" ht="18" x14ac:dyDescent="0.35">
      <c r="B55" s="3" t="s">
        <v>3</v>
      </c>
      <c r="C55" t="s">
        <v>19</v>
      </c>
    </row>
    <row r="56" spans="2:5" ht="18" x14ac:dyDescent="0.35">
      <c r="B56" s="4" t="s">
        <v>20</v>
      </c>
      <c r="C56" s="11">
        <v>62</v>
      </c>
    </row>
    <row r="57" spans="2:5" ht="18" x14ac:dyDescent="0.35">
      <c r="B57" s="4" t="s">
        <v>21</v>
      </c>
      <c r="C57" s="11">
        <v>73</v>
      </c>
    </row>
    <row r="58" spans="2:5" ht="18" x14ac:dyDescent="0.35">
      <c r="B58" s="4" t="s">
        <v>22</v>
      </c>
      <c r="C58" s="11">
        <v>49</v>
      </c>
    </row>
    <row r="59" spans="2:5" ht="18" x14ac:dyDescent="0.35">
      <c r="B59" s="4" t="s">
        <v>23</v>
      </c>
      <c r="C59" s="11">
        <v>44</v>
      </c>
    </row>
    <row r="60" spans="2:5" ht="18" x14ac:dyDescent="0.35">
      <c r="B60" s="4" t="s">
        <v>24</v>
      </c>
      <c r="C60" s="11">
        <v>72</v>
      </c>
    </row>
    <row r="61" spans="2:5" ht="18" x14ac:dyDescent="0.35">
      <c r="B61" s="4" t="s">
        <v>25</v>
      </c>
      <c r="C61" s="11">
        <v>71</v>
      </c>
    </row>
    <row r="62" spans="2:5" ht="18" x14ac:dyDescent="0.35">
      <c r="B62" s="4" t="s">
        <v>26</v>
      </c>
      <c r="C62" s="11">
        <v>59</v>
      </c>
    </row>
    <row r="63" spans="2:5" ht="18" x14ac:dyDescent="0.35">
      <c r="B63" s="4" t="s">
        <v>27</v>
      </c>
      <c r="C63" s="11">
        <v>58</v>
      </c>
    </row>
    <row r="64" spans="2:5" ht="18" x14ac:dyDescent="0.35">
      <c r="B64" s="4" t="s">
        <v>4</v>
      </c>
      <c r="C64" s="2">
        <v>488</v>
      </c>
    </row>
    <row r="65" spans="2:3" ht="18" x14ac:dyDescent="0.35"/>
    <row r="66" spans="2:3" ht="18" x14ac:dyDescent="0.35"/>
    <row r="67" spans="2:3" ht="18" x14ac:dyDescent="0.35"/>
    <row r="68" spans="2:3" ht="18" x14ac:dyDescent="0.35"/>
    <row r="69" spans="2:3" ht="18" x14ac:dyDescent="0.35">
      <c r="B69" t="s">
        <v>65</v>
      </c>
    </row>
    <row r="70" spans="2:3" ht="18" x14ac:dyDescent="0.35">
      <c r="B70" s="3" t="s">
        <v>3</v>
      </c>
      <c r="C70" t="s">
        <v>0</v>
      </c>
    </row>
    <row r="71" spans="2:3" ht="18" x14ac:dyDescent="0.35">
      <c r="B71" s="4" t="s">
        <v>60</v>
      </c>
      <c r="C71" s="2">
        <v>288</v>
      </c>
    </row>
    <row r="72" spans="2:3" ht="18" x14ac:dyDescent="0.35">
      <c r="B72" s="4" t="s">
        <v>61</v>
      </c>
      <c r="C72" s="2">
        <v>200</v>
      </c>
    </row>
    <row r="73" spans="2:3" ht="18" x14ac:dyDescent="0.35">
      <c r="B73" s="4" t="s">
        <v>4</v>
      </c>
      <c r="C73" s="2">
        <v>488</v>
      </c>
    </row>
    <row r="74" spans="2:3" ht="18" x14ac:dyDescent="0.35"/>
    <row r="75" spans="2:3" ht="18" x14ac:dyDescent="0.35">
      <c r="B75" s="4" t="s">
        <v>66</v>
      </c>
    </row>
    <row r="76" spans="2:3" ht="18" x14ac:dyDescent="0.35">
      <c r="B76" s="3" t="s">
        <v>3</v>
      </c>
      <c r="C76" t="s">
        <v>64</v>
      </c>
    </row>
    <row r="77" spans="2:3" ht="18" x14ac:dyDescent="0.35">
      <c r="B77" s="4" t="s">
        <v>62</v>
      </c>
      <c r="C77" s="2">
        <v>232</v>
      </c>
    </row>
    <row r="78" spans="2:3" ht="18" x14ac:dyDescent="0.35">
      <c r="B78" s="4" t="s">
        <v>63</v>
      </c>
      <c r="C78" s="2">
        <v>256</v>
      </c>
    </row>
    <row r="79" spans="2:3" ht="18" x14ac:dyDescent="0.35">
      <c r="B79" s="4" t="s">
        <v>4</v>
      </c>
      <c r="C79" s="2">
        <v>488</v>
      </c>
    </row>
    <row r="80" spans="2:3" ht="18" x14ac:dyDescent="0.35"/>
    <row r="81" spans="2:3" ht="18" x14ac:dyDescent="0.35">
      <c r="B81" s="4" t="s">
        <v>67</v>
      </c>
    </row>
    <row r="82" spans="2:3" x14ac:dyDescent="0.3">
      <c r="B82" s="3" t="s">
        <v>3</v>
      </c>
      <c r="C82" t="s">
        <v>68</v>
      </c>
    </row>
    <row r="83" spans="2:3" ht="18" x14ac:dyDescent="0.35">
      <c r="B83" s="4" t="s">
        <v>76</v>
      </c>
      <c r="C83" s="11">
        <v>4</v>
      </c>
    </row>
    <row r="84" spans="2:3" ht="18" x14ac:dyDescent="0.35">
      <c r="B84" s="4" t="s">
        <v>72</v>
      </c>
      <c r="C84" s="11">
        <v>7</v>
      </c>
    </row>
    <row r="85" spans="2:3" ht="18" x14ac:dyDescent="0.35">
      <c r="B85" s="4" t="s">
        <v>69</v>
      </c>
      <c r="C85" s="11">
        <v>11</v>
      </c>
    </row>
    <row r="86" spans="2:3" ht="18" x14ac:dyDescent="0.35">
      <c r="B86" s="4" t="s">
        <v>70</v>
      </c>
      <c r="C86" s="11">
        <v>11</v>
      </c>
    </row>
    <row r="87" spans="2:3" ht="18" x14ac:dyDescent="0.35">
      <c r="B87" s="4" t="s">
        <v>75</v>
      </c>
      <c r="C87" s="11">
        <v>12</v>
      </c>
    </row>
    <row r="88" spans="2:3" ht="18" x14ac:dyDescent="0.35">
      <c r="B88" s="4" t="s">
        <v>74</v>
      </c>
      <c r="C88" s="11">
        <v>60</v>
      </c>
    </row>
    <row r="89" spans="2:3" ht="18" x14ac:dyDescent="0.35">
      <c r="B89" s="4" t="s">
        <v>71</v>
      </c>
      <c r="C89" s="11">
        <v>93</v>
      </c>
    </row>
    <row r="90" spans="2:3" ht="18" x14ac:dyDescent="0.35">
      <c r="B90" s="4" t="s">
        <v>73</v>
      </c>
      <c r="C90" s="11">
        <v>290</v>
      </c>
    </row>
    <row r="91" spans="2:3" ht="18" x14ac:dyDescent="0.35">
      <c r="B91" s="4" t="s">
        <v>4</v>
      </c>
      <c r="C91" s="2">
        <v>488</v>
      </c>
    </row>
    <row r="94" spans="2:3" x14ac:dyDescent="0.3">
      <c r="B94" s="3" t="s">
        <v>3</v>
      </c>
    </row>
    <row r="95" spans="2:3" x14ac:dyDescent="0.3">
      <c r="B95" s="4" t="s">
        <v>77</v>
      </c>
    </row>
    <row r="96" spans="2:3" x14ac:dyDescent="0.3">
      <c r="B96" s="4" t="s">
        <v>4</v>
      </c>
    </row>
    <row r="98" ht="18" x14ac:dyDescent="0.35"/>
    <row r="99" ht="18" x14ac:dyDescent="0.35"/>
    <row r="100" ht="18" x14ac:dyDescent="0.35"/>
    <row r="101" ht="18" x14ac:dyDescent="0.35"/>
    <row r="102" ht="18" x14ac:dyDescent="0.35"/>
    <row r="103" ht="18" x14ac:dyDescent="0.35"/>
    <row r="104" ht="18" x14ac:dyDescent="0.35"/>
    <row r="105" ht="18" x14ac:dyDescent="0.35"/>
    <row r="106" ht="18" x14ac:dyDescent="0.35"/>
    <row r="107" ht="18" x14ac:dyDescent="0.35"/>
    <row r="108" ht="18" x14ac:dyDescent="0.35"/>
    <row r="109" ht="18" x14ac:dyDescent="0.35"/>
    <row r="110" ht="18" x14ac:dyDescent="0.35"/>
    <row r="111" ht="18" x14ac:dyDescent="0.35"/>
    <row r="112" ht="18" x14ac:dyDescent="0.35"/>
    <row r="113" ht="18" x14ac:dyDescent="0.35"/>
    <row r="114" ht="18" x14ac:dyDescent="0.35"/>
    <row r="115" ht="18" x14ac:dyDescent="0.35"/>
    <row r="116" ht="18" x14ac:dyDescent="0.35"/>
    <row r="117" ht="18" x14ac:dyDescent="0.35"/>
    <row r="118" ht="18" x14ac:dyDescent="0.35"/>
    <row r="119" ht="18" x14ac:dyDescent="0.35"/>
    <row r="120" ht="18" x14ac:dyDescent="0.35"/>
    <row r="121" ht="18" x14ac:dyDescent="0.35"/>
    <row r="122" ht="18" x14ac:dyDescent="0.35"/>
    <row r="123" ht="18" x14ac:dyDescent="0.35"/>
    <row r="124" ht="18" x14ac:dyDescent="0.35"/>
    <row r="125" ht="18" x14ac:dyDescent="0.35"/>
    <row r="126" ht="18" x14ac:dyDescent="0.35"/>
    <row r="127" ht="18" x14ac:dyDescent="0.35"/>
    <row r="128" ht="18" x14ac:dyDescent="0.35"/>
    <row r="129" ht="18" x14ac:dyDescent="0.35"/>
    <row r="130" ht="18" x14ac:dyDescent="0.35"/>
    <row r="131" ht="18" x14ac:dyDescent="0.35"/>
    <row r="132" ht="18" x14ac:dyDescent="0.35"/>
    <row r="133" ht="18" x14ac:dyDescent="0.35"/>
    <row r="134" ht="18" x14ac:dyDescent="0.35"/>
    <row r="135" ht="18" x14ac:dyDescent="0.35"/>
    <row r="136" ht="18" x14ac:dyDescent="0.35"/>
    <row r="137" ht="18" x14ac:dyDescent="0.35"/>
    <row r="138" ht="18" x14ac:dyDescent="0.35"/>
    <row r="139" ht="18" x14ac:dyDescent="0.35"/>
    <row r="140" ht="18" x14ac:dyDescent="0.35"/>
    <row r="141" ht="18" x14ac:dyDescent="0.35"/>
    <row r="142" ht="18" x14ac:dyDescent="0.35"/>
    <row r="143" ht="18" x14ac:dyDescent="0.35"/>
    <row r="144" ht="18" x14ac:dyDescent="0.35"/>
    <row r="145" ht="18" x14ac:dyDescent="0.35"/>
    <row r="146" ht="18" x14ac:dyDescent="0.35"/>
    <row r="147" ht="18" x14ac:dyDescent="0.35"/>
    <row r="148" ht="18" x14ac:dyDescent="0.35"/>
    <row r="149" ht="18" x14ac:dyDescent="0.35"/>
    <row r="150" ht="18" x14ac:dyDescent="0.35"/>
    <row r="151" ht="18" x14ac:dyDescent="0.35"/>
    <row r="152" ht="18" x14ac:dyDescent="0.35"/>
    <row r="153" ht="18" x14ac:dyDescent="0.35"/>
    <row r="154" ht="18" x14ac:dyDescent="0.35"/>
    <row r="155" ht="18" x14ac:dyDescent="0.35"/>
    <row r="156" ht="18" x14ac:dyDescent="0.35"/>
    <row r="157" ht="18" x14ac:dyDescent="0.35"/>
    <row r="158" ht="18" x14ac:dyDescent="0.35"/>
    <row r="159" ht="18" x14ac:dyDescent="0.35"/>
    <row r="160" ht="18" x14ac:dyDescent="0.35"/>
    <row r="161" ht="18" x14ac:dyDescent="0.35"/>
    <row r="162" ht="18" x14ac:dyDescent="0.35"/>
    <row r="163" ht="18" x14ac:dyDescent="0.35"/>
    <row r="164" ht="18" x14ac:dyDescent="0.35"/>
    <row r="165" ht="18" x14ac:dyDescent="0.35"/>
    <row r="166" ht="18" x14ac:dyDescent="0.35"/>
    <row r="167" ht="18" x14ac:dyDescent="0.35"/>
    <row r="168" ht="18" x14ac:dyDescent="0.35"/>
    <row r="169" ht="18" x14ac:dyDescent="0.35"/>
    <row r="170" ht="18" x14ac:dyDescent="0.35"/>
    <row r="171" ht="18" x14ac:dyDescent="0.35"/>
    <row r="172" ht="18" x14ac:dyDescent="0.35"/>
    <row r="173" ht="18" x14ac:dyDescent="0.35"/>
    <row r="174" ht="18" x14ac:dyDescent="0.35"/>
    <row r="175" ht="18" x14ac:dyDescent="0.35"/>
    <row r="176" ht="18" x14ac:dyDescent="0.35"/>
    <row r="177" ht="18" x14ac:dyDescent="0.35"/>
    <row r="178" ht="18" x14ac:dyDescent="0.35"/>
    <row r="179" ht="18" x14ac:dyDescent="0.35"/>
    <row r="180" ht="18" x14ac:dyDescent="0.35"/>
    <row r="181" ht="18" x14ac:dyDescent="0.35"/>
    <row r="182" ht="18" x14ac:dyDescent="0.35"/>
    <row r="183" ht="18" x14ac:dyDescent="0.35"/>
    <row r="184" ht="18" x14ac:dyDescent="0.35"/>
    <row r="185" ht="18" x14ac:dyDescent="0.35"/>
    <row r="186" ht="18" x14ac:dyDescent="0.35"/>
    <row r="187" ht="18" x14ac:dyDescent="0.35"/>
    <row r="188" ht="18" x14ac:dyDescent="0.35"/>
    <row r="189" ht="18" x14ac:dyDescent="0.35"/>
    <row r="190" ht="18" x14ac:dyDescent="0.35"/>
    <row r="191" ht="18" x14ac:dyDescent="0.35"/>
    <row r="192" ht="18" x14ac:dyDescent="0.35"/>
    <row r="193" ht="18" x14ac:dyDescent="0.35"/>
    <row r="194" ht="18" x14ac:dyDescent="0.35"/>
    <row r="195" ht="18" x14ac:dyDescent="0.35"/>
    <row r="196" ht="18" x14ac:dyDescent="0.35"/>
    <row r="197" ht="18" x14ac:dyDescent="0.35"/>
    <row r="198" ht="18" x14ac:dyDescent="0.35"/>
    <row r="199" ht="18" x14ac:dyDescent="0.35"/>
    <row r="200" ht="18" x14ac:dyDescent="0.35"/>
    <row r="201" ht="18" x14ac:dyDescent="0.35"/>
    <row r="202" ht="18" x14ac:dyDescent="0.35"/>
    <row r="203" ht="18" x14ac:dyDescent="0.35"/>
    <row r="204" ht="18" x14ac:dyDescent="0.35"/>
    <row r="205" ht="18" x14ac:dyDescent="0.35"/>
    <row r="206" ht="18" x14ac:dyDescent="0.35"/>
    <row r="207" ht="18" x14ac:dyDescent="0.35"/>
    <row r="208" ht="18" x14ac:dyDescent="0.35"/>
    <row r="209" ht="18" x14ac:dyDescent="0.35"/>
    <row r="210" ht="18" x14ac:dyDescent="0.35"/>
    <row r="211" ht="18" x14ac:dyDescent="0.35"/>
    <row r="212" ht="18" x14ac:dyDescent="0.35"/>
    <row r="213" ht="18" x14ac:dyDescent="0.35"/>
    <row r="214" ht="18" x14ac:dyDescent="0.35"/>
    <row r="215" ht="18" x14ac:dyDescent="0.35"/>
    <row r="216" ht="18" x14ac:dyDescent="0.35"/>
    <row r="217" ht="18" x14ac:dyDescent="0.35"/>
    <row r="218" ht="18" x14ac:dyDescent="0.35"/>
    <row r="219" ht="18" x14ac:dyDescent="0.35"/>
    <row r="220" ht="18" x14ac:dyDescent="0.35"/>
    <row r="221" ht="18" x14ac:dyDescent="0.35"/>
    <row r="222" ht="18" x14ac:dyDescent="0.35"/>
    <row r="223" ht="18" x14ac:dyDescent="0.35"/>
    <row r="224" ht="18" x14ac:dyDescent="0.35"/>
    <row r="225" ht="18" x14ac:dyDescent="0.35"/>
    <row r="226" ht="18" x14ac:dyDescent="0.35"/>
    <row r="227" ht="18" x14ac:dyDescent="0.35"/>
    <row r="228" ht="18" x14ac:dyDescent="0.35"/>
    <row r="229" ht="18" x14ac:dyDescent="0.35"/>
    <row r="230" ht="18" x14ac:dyDescent="0.35"/>
    <row r="231" ht="18" x14ac:dyDescent="0.35"/>
    <row r="232" ht="18" x14ac:dyDescent="0.35"/>
    <row r="233" ht="18" x14ac:dyDescent="0.35"/>
    <row r="234" ht="18" x14ac:dyDescent="0.35"/>
    <row r="235" ht="18" x14ac:dyDescent="0.35"/>
    <row r="236" ht="18" x14ac:dyDescent="0.35"/>
    <row r="237" ht="18" x14ac:dyDescent="0.35"/>
    <row r="238" ht="18" x14ac:dyDescent="0.35"/>
    <row r="239" ht="18" x14ac:dyDescent="0.35"/>
    <row r="240" ht="18" x14ac:dyDescent="0.35"/>
    <row r="241" ht="18" x14ac:dyDescent="0.35"/>
    <row r="242" ht="18" x14ac:dyDescent="0.35"/>
    <row r="243" ht="18" x14ac:dyDescent="0.35"/>
    <row r="244" ht="18" x14ac:dyDescent="0.35"/>
    <row r="245" ht="18" x14ac:dyDescent="0.35"/>
    <row r="246" ht="18" x14ac:dyDescent="0.35"/>
    <row r="247" ht="18" x14ac:dyDescent="0.35"/>
    <row r="248" ht="18" x14ac:dyDescent="0.35"/>
    <row r="249" ht="18" x14ac:dyDescent="0.35"/>
    <row r="250" ht="18" x14ac:dyDescent="0.35"/>
    <row r="251" ht="18" x14ac:dyDescent="0.35"/>
    <row r="252" ht="18" x14ac:dyDescent="0.35"/>
    <row r="253" ht="18" x14ac:dyDescent="0.35"/>
    <row r="254" ht="18" x14ac:dyDescent="0.35"/>
    <row r="255" ht="18" x14ac:dyDescent="0.35"/>
    <row r="256" ht="18" x14ac:dyDescent="0.35"/>
    <row r="257" ht="18" x14ac:dyDescent="0.35"/>
    <row r="258" ht="18" x14ac:dyDescent="0.35"/>
    <row r="259" ht="18" x14ac:dyDescent="0.35"/>
    <row r="260" ht="18" x14ac:dyDescent="0.35"/>
    <row r="261" ht="18" x14ac:dyDescent="0.35"/>
    <row r="262" ht="18" x14ac:dyDescent="0.35"/>
    <row r="263" ht="18" x14ac:dyDescent="0.35"/>
    <row r="264" ht="18" x14ac:dyDescent="0.35"/>
    <row r="265" ht="18" x14ac:dyDescent="0.35"/>
    <row r="266" ht="18" x14ac:dyDescent="0.35"/>
    <row r="267" ht="18" x14ac:dyDescent="0.35"/>
    <row r="268" ht="18" x14ac:dyDescent="0.35"/>
    <row r="269" ht="18" x14ac:dyDescent="0.35"/>
    <row r="270" ht="18" x14ac:dyDescent="0.35"/>
    <row r="271" ht="18" x14ac:dyDescent="0.35"/>
    <row r="272" ht="18" x14ac:dyDescent="0.35"/>
    <row r="273" ht="18" x14ac:dyDescent="0.35"/>
    <row r="274" ht="18" x14ac:dyDescent="0.35"/>
    <row r="275" ht="18" x14ac:dyDescent="0.35"/>
    <row r="276" ht="18" x14ac:dyDescent="0.35"/>
    <row r="277" ht="18" x14ac:dyDescent="0.35"/>
    <row r="278" ht="18" x14ac:dyDescent="0.35"/>
    <row r="279" ht="18" x14ac:dyDescent="0.35"/>
    <row r="280" ht="18" x14ac:dyDescent="0.35"/>
    <row r="281" ht="18" x14ac:dyDescent="0.35"/>
    <row r="282" ht="18" x14ac:dyDescent="0.35"/>
    <row r="283" ht="18" x14ac:dyDescent="0.35"/>
    <row r="284" ht="18" x14ac:dyDescent="0.35"/>
    <row r="285" ht="18" x14ac:dyDescent="0.35"/>
    <row r="286" ht="18" x14ac:dyDescent="0.35"/>
    <row r="287" ht="18" x14ac:dyDescent="0.35"/>
    <row r="288" ht="18" x14ac:dyDescent="0.35"/>
    <row r="289" ht="18" x14ac:dyDescent="0.35"/>
    <row r="290" ht="18" x14ac:dyDescent="0.35"/>
    <row r="291" ht="18" x14ac:dyDescent="0.35"/>
    <row r="292" ht="18" x14ac:dyDescent="0.35"/>
    <row r="293" ht="18" x14ac:dyDescent="0.35"/>
    <row r="294" ht="18" x14ac:dyDescent="0.35"/>
    <row r="295" ht="18" x14ac:dyDescent="0.35"/>
    <row r="296" ht="18" x14ac:dyDescent="0.35"/>
    <row r="297" ht="18" x14ac:dyDescent="0.35"/>
    <row r="298" ht="18" x14ac:dyDescent="0.35"/>
    <row r="299" ht="18" x14ac:dyDescent="0.35"/>
    <row r="300" ht="18" x14ac:dyDescent="0.35"/>
    <row r="301" ht="18" x14ac:dyDescent="0.35"/>
    <row r="302" ht="18" x14ac:dyDescent="0.35"/>
    <row r="303" ht="18" x14ac:dyDescent="0.35"/>
    <row r="304" ht="18" x14ac:dyDescent="0.35"/>
    <row r="305" ht="18" x14ac:dyDescent="0.35"/>
    <row r="306" ht="18" x14ac:dyDescent="0.35"/>
    <row r="307" ht="18" x14ac:dyDescent="0.35"/>
    <row r="308" ht="18" x14ac:dyDescent="0.35"/>
    <row r="309" ht="18" x14ac:dyDescent="0.35"/>
    <row r="310" ht="18" x14ac:dyDescent="0.35"/>
    <row r="311" ht="18" x14ac:dyDescent="0.35"/>
    <row r="312" ht="18" x14ac:dyDescent="0.35"/>
    <row r="313" ht="18" x14ac:dyDescent="0.35"/>
    <row r="314" ht="18" x14ac:dyDescent="0.35"/>
    <row r="315" ht="18" x14ac:dyDescent="0.35"/>
    <row r="316" ht="18" x14ac:dyDescent="0.35"/>
    <row r="317" ht="18" x14ac:dyDescent="0.35"/>
    <row r="318" ht="18" x14ac:dyDescent="0.35"/>
    <row r="319" ht="18" x14ac:dyDescent="0.35"/>
    <row r="320" ht="18" x14ac:dyDescent="0.35"/>
    <row r="321" ht="18" x14ac:dyDescent="0.35"/>
    <row r="322" ht="18" x14ac:dyDescent="0.35"/>
    <row r="323" ht="18" x14ac:dyDescent="0.35"/>
    <row r="324" ht="18" x14ac:dyDescent="0.35"/>
    <row r="325" ht="18" x14ac:dyDescent="0.35"/>
    <row r="326" ht="18" x14ac:dyDescent="0.35"/>
    <row r="327" ht="18" x14ac:dyDescent="0.35"/>
    <row r="328" ht="18" x14ac:dyDescent="0.35"/>
    <row r="329" ht="18" x14ac:dyDescent="0.35"/>
    <row r="330" ht="18" x14ac:dyDescent="0.35"/>
    <row r="331" ht="18" x14ac:dyDescent="0.35"/>
    <row r="332" ht="18" x14ac:dyDescent="0.35"/>
    <row r="333" ht="18" x14ac:dyDescent="0.35"/>
    <row r="334" ht="18" x14ac:dyDescent="0.35"/>
    <row r="335" ht="18" x14ac:dyDescent="0.35"/>
    <row r="336" ht="18" x14ac:dyDescent="0.35"/>
    <row r="337" ht="18" x14ac:dyDescent="0.35"/>
    <row r="338" ht="18" x14ac:dyDescent="0.35"/>
    <row r="339" ht="18" x14ac:dyDescent="0.35"/>
    <row r="340" ht="18" x14ac:dyDescent="0.35"/>
    <row r="341" ht="18" x14ac:dyDescent="0.35"/>
    <row r="342" ht="18" x14ac:dyDescent="0.35"/>
    <row r="343" ht="18" x14ac:dyDescent="0.35"/>
    <row r="344" ht="18" x14ac:dyDescent="0.35"/>
    <row r="345" ht="18" x14ac:dyDescent="0.35"/>
    <row r="346" ht="18" x14ac:dyDescent="0.35"/>
    <row r="347" ht="18" x14ac:dyDescent="0.35"/>
    <row r="348" ht="18" x14ac:dyDescent="0.35"/>
    <row r="349" ht="18" x14ac:dyDescent="0.35"/>
    <row r="350" ht="18" x14ac:dyDescent="0.35"/>
    <row r="351" ht="18" x14ac:dyDescent="0.35"/>
    <row r="352" ht="18" x14ac:dyDescent="0.35"/>
    <row r="353" ht="18" x14ac:dyDescent="0.35"/>
    <row r="354" ht="18" x14ac:dyDescent="0.35"/>
    <row r="355" ht="18" x14ac:dyDescent="0.35"/>
    <row r="356" ht="18" x14ac:dyDescent="0.35"/>
    <row r="357" ht="18" x14ac:dyDescent="0.35"/>
    <row r="358" ht="18" x14ac:dyDescent="0.35"/>
    <row r="359" ht="18" x14ac:dyDescent="0.35"/>
    <row r="360" ht="18" x14ac:dyDescent="0.35"/>
    <row r="361" ht="18" x14ac:dyDescent="0.35"/>
    <row r="362" ht="18" x14ac:dyDescent="0.35"/>
    <row r="363" ht="18" x14ac:dyDescent="0.35"/>
    <row r="364" ht="18" x14ac:dyDescent="0.35"/>
    <row r="365" ht="18" x14ac:dyDescent="0.35"/>
    <row r="366" ht="18" x14ac:dyDescent="0.35"/>
    <row r="367" ht="18" x14ac:dyDescent="0.35"/>
    <row r="368" ht="18" x14ac:dyDescent="0.35"/>
    <row r="369" ht="18" x14ac:dyDescent="0.35"/>
    <row r="370" ht="18" x14ac:dyDescent="0.35"/>
    <row r="371" ht="18" x14ac:dyDescent="0.35"/>
    <row r="372" ht="18" x14ac:dyDescent="0.35"/>
    <row r="373" ht="18" x14ac:dyDescent="0.35"/>
    <row r="374" ht="18" x14ac:dyDescent="0.35"/>
    <row r="375" ht="18" x14ac:dyDescent="0.35"/>
    <row r="376" ht="18" x14ac:dyDescent="0.35"/>
    <row r="377" ht="18" x14ac:dyDescent="0.35"/>
    <row r="378" ht="18" x14ac:dyDescent="0.35"/>
    <row r="379" ht="18" x14ac:dyDescent="0.35"/>
    <row r="380" ht="18" x14ac:dyDescent="0.35"/>
    <row r="381" ht="18" x14ac:dyDescent="0.35"/>
    <row r="382" ht="18" x14ac:dyDescent="0.35"/>
    <row r="383" ht="18" x14ac:dyDescent="0.35"/>
    <row r="384" ht="18" x14ac:dyDescent="0.35"/>
    <row r="385" ht="18" x14ac:dyDescent="0.35"/>
    <row r="386" ht="18" x14ac:dyDescent="0.35"/>
    <row r="387" ht="18" x14ac:dyDescent="0.35"/>
    <row r="388" ht="18" x14ac:dyDescent="0.35"/>
    <row r="389" ht="18" x14ac:dyDescent="0.35"/>
    <row r="390" ht="18" x14ac:dyDescent="0.35"/>
    <row r="391" ht="18" x14ac:dyDescent="0.35"/>
    <row r="392" ht="18" x14ac:dyDescent="0.35"/>
    <row r="393" ht="18" x14ac:dyDescent="0.35"/>
    <row r="394" ht="18" x14ac:dyDescent="0.35"/>
    <row r="395" ht="18" x14ac:dyDescent="0.35"/>
    <row r="396" ht="18" x14ac:dyDescent="0.35"/>
    <row r="397" ht="18" x14ac:dyDescent="0.35"/>
    <row r="398" ht="18" x14ac:dyDescent="0.35"/>
    <row r="399" ht="18" x14ac:dyDescent="0.35"/>
    <row r="400" ht="18" x14ac:dyDescent="0.35"/>
    <row r="401" ht="18" x14ac:dyDescent="0.35"/>
    <row r="402" ht="18" x14ac:dyDescent="0.35"/>
    <row r="403" ht="18" x14ac:dyDescent="0.35"/>
    <row r="404" ht="18" x14ac:dyDescent="0.35"/>
    <row r="405" ht="18" x14ac:dyDescent="0.35"/>
    <row r="406" ht="18" x14ac:dyDescent="0.35"/>
    <row r="407" ht="18" x14ac:dyDescent="0.35"/>
    <row r="408" ht="18" x14ac:dyDescent="0.35"/>
    <row r="409" ht="18" x14ac:dyDescent="0.35"/>
    <row r="410" ht="18" x14ac:dyDescent="0.35"/>
    <row r="411" ht="18" x14ac:dyDescent="0.35"/>
    <row r="412" ht="18" x14ac:dyDescent="0.35"/>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C1A1E-3703-4788-A589-7D93C4D3154E}">
  <dimension ref="A1"/>
  <sheetViews>
    <sheetView showGridLines="0" topLeftCell="A7" zoomScale="110" zoomScaleNormal="110" workbookViewId="0">
      <selection activeCell="W14" sqref="W14"/>
    </sheetView>
  </sheetViews>
  <sheetFormatPr defaultRowHeight="14.4"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3FBE-5123-415B-A5FC-B84CC05B05BF}">
  <dimension ref="A1:T28"/>
  <sheetViews>
    <sheetView workbookViewId="0"/>
  </sheetViews>
  <sheetFormatPr defaultRowHeight="14.4" x14ac:dyDescent="0.3"/>
  <sheetData>
    <row r="1" spans="1:20" x14ac:dyDescent="0.3">
      <c r="A1" s="8"/>
      <c r="B1" s="8"/>
      <c r="C1" s="8"/>
      <c r="D1" s="8"/>
      <c r="E1" s="8"/>
      <c r="F1" s="8"/>
      <c r="G1" s="8"/>
      <c r="H1" s="8"/>
      <c r="I1" s="8"/>
      <c r="J1" s="8"/>
      <c r="K1" s="8"/>
      <c r="L1" s="8"/>
      <c r="M1" s="8"/>
      <c r="N1" s="8"/>
      <c r="O1" s="8"/>
      <c r="P1" s="8"/>
      <c r="Q1" s="8"/>
      <c r="R1" s="8"/>
      <c r="S1" s="8"/>
      <c r="T1" s="8"/>
    </row>
    <row r="2" spans="1:20" x14ac:dyDescent="0.3">
      <c r="A2" s="8"/>
      <c r="B2" s="8"/>
      <c r="C2" s="8"/>
      <c r="D2" s="8"/>
      <c r="E2" s="8"/>
      <c r="F2" s="8"/>
      <c r="G2" s="8"/>
      <c r="H2" s="8"/>
      <c r="I2" s="8"/>
      <c r="J2" s="8"/>
      <c r="K2" s="8"/>
      <c r="L2" s="8"/>
      <c r="M2" s="8"/>
      <c r="N2" s="8"/>
      <c r="O2" s="8"/>
      <c r="P2" s="8"/>
      <c r="Q2" s="8"/>
      <c r="R2" s="8"/>
      <c r="S2" s="8"/>
      <c r="T2" s="8"/>
    </row>
    <row r="3" spans="1:20" x14ac:dyDescent="0.3">
      <c r="A3" s="8"/>
      <c r="B3" s="8"/>
      <c r="C3" s="8"/>
      <c r="D3" s="8"/>
      <c r="E3" s="8"/>
      <c r="F3" s="8"/>
      <c r="G3" s="8"/>
      <c r="H3" s="8"/>
      <c r="I3" s="8"/>
      <c r="J3" s="8"/>
      <c r="K3" s="8"/>
      <c r="L3" s="8"/>
      <c r="M3" s="8"/>
      <c r="N3" s="8"/>
      <c r="O3" s="8"/>
      <c r="P3" s="8"/>
      <c r="Q3" s="8"/>
      <c r="R3" s="8"/>
      <c r="S3" s="8"/>
      <c r="T3" s="8"/>
    </row>
    <row r="4" spans="1:20" x14ac:dyDescent="0.3">
      <c r="A4" s="8"/>
      <c r="B4" s="8"/>
      <c r="C4" s="8"/>
      <c r="D4" s="8"/>
      <c r="E4" s="8"/>
      <c r="F4" s="8"/>
      <c r="G4" s="8"/>
      <c r="H4" s="8"/>
      <c r="I4" s="8"/>
      <c r="J4" s="8"/>
      <c r="K4" s="8"/>
      <c r="L4" s="8"/>
      <c r="M4" s="8"/>
      <c r="N4" s="8"/>
      <c r="O4" s="8"/>
      <c r="P4" s="8"/>
      <c r="Q4" s="8"/>
      <c r="R4" s="8"/>
      <c r="S4" s="8"/>
      <c r="T4" s="8"/>
    </row>
    <row r="5" spans="1:20" x14ac:dyDescent="0.3">
      <c r="A5" s="8"/>
      <c r="B5" s="8"/>
      <c r="C5" s="8"/>
      <c r="D5" s="8"/>
      <c r="E5" s="8"/>
      <c r="F5" s="8"/>
      <c r="G5" s="8"/>
      <c r="H5" s="8"/>
      <c r="I5" s="8"/>
      <c r="J5" s="8"/>
      <c r="K5" s="8"/>
      <c r="L5" s="8"/>
      <c r="M5" s="8"/>
      <c r="N5" s="8"/>
      <c r="O5" s="8"/>
      <c r="P5" s="8"/>
      <c r="Q5" s="8"/>
      <c r="R5" s="8"/>
      <c r="S5" s="8"/>
      <c r="T5" s="8"/>
    </row>
    <row r="6" spans="1:20" x14ac:dyDescent="0.3">
      <c r="A6" s="8"/>
      <c r="B6" s="8"/>
      <c r="C6" s="8"/>
      <c r="D6" s="8"/>
      <c r="E6" s="8"/>
      <c r="F6" s="8"/>
      <c r="G6" s="8"/>
      <c r="H6" s="8"/>
      <c r="I6" s="8"/>
      <c r="J6" s="8"/>
      <c r="K6" s="8"/>
      <c r="L6" s="8"/>
      <c r="M6" s="8"/>
      <c r="N6" s="8"/>
      <c r="O6" s="8"/>
      <c r="P6" s="8"/>
      <c r="Q6" s="8"/>
      <c r="R6" s="8"/>
      <c r="S6" s="8"/>
      <c r="T6" s="8"/>
    </row>
    <row r="7" spans="1:20" x14ac:dyDescent="0.3">
      <c r="A7" s="8"/>
      <c r="B7" s="8"/>
      <c r="C7" s="8"/>
      <c r="D7" s="8"/>
      <c r="E7" s="8"/>
      <c r="F7" s="8"/>
      <c r="G7" s="8"/>
      <c r="H7" s="8"/>
      <c r="I7" s="8"/>
      <c r="J7" s="8"/>
      <c r="K7" s="8"/>
      <c r="L7" s="8"/>
      <c r="M7" s="8"/>
      <c r="N7" s="8"/>
      <c r="O7" s="8"/>
      <c r="P7" s="8"/>
      <c r="Q7" s="8"/>
      <c r="R7" s="8"/>
      <c r="S7" s="8"/>
      <c r="T7" s="8"/>
    </row>
    <row r="8" spans="1:20" x14ac:dyDescent="0.3">
      <c r="A8" s="8"/>
      <c r="B8" s="8"/>
      <c r="C8" s="8"/>
      <c r="D8" s="8"/>
      <c r="E8" s="8"/>
      <c r="F8" s="8"/>
      <c r="G8" s="8"/>
      <c r="H8" s="8"/>
      <c r="I8" s="8"/>
      <c r="J8" s="8"/>
      <c r="K8" s="8"/>
      <c r="L8" s="8"/>
      <c r="M8" s="8"/>
      <c r="N8" s="8"/>
      <c r="O8" s="8"/>
      <c r="P8" s="8"/>
      <c r="Q8" s="8"/>
      <c r="R8" s="8"/>
      <c r="S8" s="8"/>
      <c r="T8" s="8"/>
    </row>
    <row r="9" spans="1:20" x14ac:dyDescent="0.3">
      <c r="A9" s="8"/>
      <c r="B9" s="8"/>
      <c r="C9" s="8"/>
      <c r="D9" s="8"/>
      <c r="E9" s="8"/>
      <c r="F9" s="8"/>
      <c r="G9" s="8"/>
      <c r="H9" s="8"/>
      <c r="I9" s="8"/>
      <c r="J9" s="8"/>
      <c r="K9" s="8"/>
      <c r="L9" s="8"/>
      <c r="M9" s="8"/>
      <c r="N9" s="8"/>
      <c r="O9" s="8"/>
      <c r="P9" s="8"/>
      <c r="Q9" s="8"/>
      <c r="R9" s="8"/>
      <c r="S9" s="8"/>
      <c r="T9" s="8"/>
    </row>
    <row r="10" spans="1:20" x14ac:dyDescent="0.3">
      <c r="A10" s="8"/>
      <c r="B10" s="8"/>
      <c r="C10" s="8"/>
      <c r="D10" s="8"/>
      <c r="E10" s="8"/>
      <c r="F10" s="8"/>
      <c r="G10" s="8"/>
      <c r="H10" s="8"/>
      <c r="I10" s="8"/>
      <c r="J10" s="8"/>
      <c r="K10" s="8"/>
      <c r="L10" s="8"/>
      <c r="M10" s="8"/>
      <c r="N10" s="8"/>
      <c r="O10" s="8"/>
      <c r="P10" s="8"/>
      <c r="Q10" s="8"/>
      <c r="R10" s="8"/>
      <c r="S10" s="8"/>
      <c r="T10" s="8"/>
    </row>
    <row r="11" spans="1:20" x14ac:dyDescent="0.3">
      <c r="A11" s="8"/>
      <c r="B11" s="8"/>
      <c r="C11" s="8"/>
      <c r="D11" s="8"/>
      <c r="E11" s="8"/>
      <c r="F11" s="8"/>
      <c r="G11" s="8"/>
      <c r="H11" s="8"/>
      <c r="I11" s="8"/>
      <c r="J11" s="8"/>
      <c r="K11" s="8"/>
      <c r="L11" s="8"/>
      <c r="M11" s="8"/>
      <c r="N11" s="8"/>
      <c r="O11" s="8"/>
      <c r="P11" s="8"/>
      <c r="Q11" s="8"/>
      <c r="R11" s="8"/>
      <c r="S11" s="8"/>
      <c r="T11" s="8"/>
    </row>
    <row r="12" spans="1:20" x14ac:dyDescent="0.3">
      <c r="A12" s="8"/>
      <c r="B12" s="8"/>
      <c r="C12" s="8"/>
      <c r="D12" s="8"/>
      <c r="E12" s="8"/>
      <c r="F12" s="8"/>
      <c r="G12" s="8"/>
      <c r="H12" s="8"/>
      <c r="I12" s="8"/>
      <c r="J12" s="8"/>
      <c r="K12" s="8"/>
      <c r="L12" s="8"/>
      <c r="M12" s="8"/>
      <c r="N12" s="8"/>
      <c r="O12" s="8"/>
      <c r="P12" s="8"/>
      <c r="Q12" s="8"/>
      <c r="R12" s="8"/>
      <c r="S12" s="8"/>
      <c r="T12" s="8"/>
    </row>
    <row r="13" spans="1:20" x14ac:dyDescent="0.3">
      <c r="A13" s="8"/>
      <c r="B13" s="8"/>
      <c r="C13" s="8"/>
      <c r="D13" s="8"/>
      <c r="E13" s="8"/>
      <c r="F13" s="8"/>
      <c r="G13" s="8"/>
      <c r="H13" s="8"/>
      <c r="I13" s="8"/>
      <c r="J13" s="8"/>
      <c r="K13" s="8"/>
      <c r="L13" s="8"/>
      <c r="M13" s="8"/>
      <c r="N13" s="8"/>
      <c r="O13" s="8"/>
      <c r="P13" s="8"/>
      <c r="Q13" s="8"/>
      <c r="R13" s="8"/>
      <c r="S13" s="8"/>
      <c r="T13" s="8"/>
    </row>
    <row r="14" spans="1:20" x14ac:dyDescent="0.3">
      <c r="A14" s="8"/>
      <c r="B14" s="8"/>
      <c r="C14" s="8"/>
      <c r="D14" s="8"/>
      <c r="E14" s="8"/>
      <c r="F14" s="8"/>
      <c r="G14" s="8"/>
      <c r="H14" s="8"/>
      <c r="I14" s="8"/>
      <c r="J14" s="8"/>
      <c r="K14" s="8"/>
      <c r="L14" s="8"/>
      <c r="M14" s="8"/>
      <c r="N14" s="8"/>
      <c r="O14" s="8"/>
      <c r="P14" s="8"/>
      <c r="Q14" s="8"/>
      <c r="R14" s="8"/>
      <c r="S14" s="8"/>
      <c r="T14" s="8"/>
    </row>
    <row r="15" spans="1:20" x14ac:dyDescent="0.3">
      <c r="A15" s="8"/>
      <c r="B15" s="8"/>
      <c r="C15" s="8"/>
      <c r="D15" s="8"/>
      <c r="E15" s="8"/>
      <c r="F15" s="8"/>
      <c r="G15" s="8"/>
      <c r="H15" s="8"/>
      <c r="I15" s="8"/>
      <c r="J15" s="8"/>
      <c r="K15" s="8"/>
      <c r="L15" s="8"/>
      <c r="M15" s="8"/>
      <c r="N15" s="8"/>
      <c r="O15" s="8"/>
      <c r="P15" s="8"/>
      <c r="Q15" s="8"/>
      <c r="R15" s="8"/>
      <c r="S15" s="8"/>
      <c r="T15" s="8"/>
    </row>
    <row r="16" spans="1:20" x14ac:dyDescent="0.3">
      <c r="A16" s="8"/>
      <c r="B16" s="8"/>
      <c r="C16" s="8"/>
      <c r="D16" s="8"/>
      <c r="E16" s="8"/>
      <c r="F16" s="8"/>
      <c r="G16" s="8"/>
      <c r="H16" s="8"/>
      <c r="I16" s="8"/>
      <c r="J16" s="8"/>
      <c r="K16" s="8"/>
      <c r="L16" s="8"/>
      <c r="M16" s="8"/>
      <c r="N16" s="8"/>
      <c r="O16" s="8"/>
      <c r="P16" s="8"/>
      <c r="Q16" s="8"/>
      <c r="R16" s="8"/>
      <c r="S16" s="8"/>
      <c r="T16" s="8"/>
    </row>
    <row r="17" spans="1:20" x14ac:dyDescent="0.3">
      <c r="A17" s="8"/>
      <c r="B17" s="8"/>
      <c r="C17" s="8"/>
      <c r="D17" s="8"/>
      <c r="E17" s="8"/>
      <c r="F17" s="8"/>
      <c r="G17" s="8"/>
      <c r="H17" s="8"/>
      <c r="I17" s="8"/>
      <c r="J17" s="8"/>
      <c r="K17" s="8"/>
      <c r="L17" s="8"/>
      <c r="M17" s="8"/>
      <c r="N17" s="8"/>
      <c r="O17" s="8"/>
      <c r="P17" s="8"/>
      <c r="Q17" s="8"/>
      <c r="R17" s="8"/>
      <c r="S17" s="8"/>
      <c r="T17" s="8"/>
    </row>
    <row r="18" spans="1:20" x14ac:dyDescent="0.3">
      <c r="A18" s="8"/>
      <c r="B18" s="8"/>
      <c r="C18" s="8"/>
      <c r="D18" s="8"/>
      <c r="E18" s="8"/>
      <c r="F18" s="8"/>
      <c r="G18" s="8"/>
      <c r="H18" s="8"/>
      <c r="I18" s="8"/>
      <c r="J18" s="8"/>
      <c r="K18" s="8"/>
      <c r="L18" s="8"/>
      <c r="M18" s="8"/>
      <c r="N18" s="8"/>
      <c r="O18" s="8"/>
      <c r="P18" s="8"/>
      <c r="Q18" s="8"/>
      <c r="R18" s="8"/>
      <c r="S18" s="8"/>
      <c r="T18" s="8"/>
    </row>
    <row r="19" spans="1:20" x14ac:dyDescent="0.3">
      <c r="A19" s="8"/>
      <c r="B19" s="8"/>
      <c r="C19" s="8"/>
      <c r="D19" s="8"/>
      <c r="E19" s="8"/>
      <c r="F19" s="8"/>
      <c r="G19" s="8"/>
      <c r="H19" s="8"/>
      <c r="I19" s="8"/>
      <c r="J19" s="8"/>
      <c r="K19" s="8"/>
      <c r="L19" s="8"/>
      <c r="M19" s="8"/>
      <c r="N19" s="8"/>
      <c r="O19" s="8"/>
      <c r="P19" s="8"/>
      <c r="Q19" s="8"/>
      <c r="R19" s="8"/>
      <c r="S19" s="8"/>
      <c r="T19" s="8"/>
    </row>
    <row r="20" spans="1:20" x14ac:dyDescent="0.3">
      <c r="A20" s="8"/>
      <c r="B20" s="8"/>
      <c r="C20" s="8"/>
      <c r="D20" s="8"/>
      <c r="E20" s="8"/>
      <c r="F20" s="8"/>
      <c r="G20" s="8"/>
      <c r="H20" s="8"/>
      <c r="I20" s="8"/>
      <c r="J20" s="8"/>
      <c r="K20" s="8"/>
      <c r="L20" s="8"/>
      <c r="M20" s="8"/>
      <c r="N20" s="8"/>
      <c r="O20" s="8"/>
      <c r="P20" s="8"/>
      <c r="Q20" s="8"/>
      <c r="R20" s="8"/>
      <c r="S20" s="8"/>
      <c r="T20" s="8"/>
    </row>
    <row r="21" spans="1:20" x14ac:dyDescent="0.3">
      <c r="A21" s="8"/>
      <c r="B21" s="8"/>
      <c r="C21" s="8"/>
      <c r="D21" s="8"/>
      <c r="E21" s="8"/>
      <c r="F21" s="8"/>
      <c r="G21" s="8"/>
      <c r="H21" s="8"/>
      <c r="I21" s="8"/>
      <c r="J21" s="8"/>
      <c r="K21" s="8"/>
      <c r="L21" s="8"/>
      <c r="M21" s="8"/>
      <c r="N21" s="8"/>
      <c r="O21" s="8"/>
      <c r="P21" s="8"/>
      <c r="Q21" s="8"/>
      <c r="R21" s="8"/>
      <c r="S21" s="8"/>
      <c r="T21" s="8"/>
    </row>
    <row r="22" spans="1:20" x14ac:dyDescent="0.3">
      <c r="A22" s="8"/>
      <c r="B22" s="8"/>
      <c r="C22" s="8"/>
      <c r="D22" s="8"/>
      <c r="E22" s="8"/>
      <c r="F22" s="8"/>
      <c r="G22" s="8"/>
      <c r="H22" s="8"/>
      <c r="I22" s="8"/>
      <c r="J22" s="8"/>
      <c r="K22" s="8"/>
      <c r="L22" s="8"/>
      <c r="M22" s="8"/>
      <c r="N22" s="8"/>
      <c r="O22" s="8"/>
      <c r="P22" s="8"/>
      <c r="Q22" s="8"/>
      <c r="R22" s="8"/>
      <c r="S22" s="8"/>
      <c r="T22" s="8"/>
    </row>
    <row r="23" spans="1:20" x14ac:dyDescent="0.3">
      <c r="A23" s="8"/>
      <c r="B23" s="8"/>
      <c r="C23" s="8"/>
      <c r="D23" s="8"/>
      <c r="E23" s="8"/>
      <c r="F23" s="8"/>
      <c r="G23" s="8"/>
      <c r="H23" s="8"/>
      <c r="I23" s="8"/>
      <c r="J23" s="8"/>
      <c r="K23" s="8"/>
      <c r="L23" s="8"/>
      <c r="M23" s="8"/>
      <c r="N23" s="8"/>
      <c r="O23" s="8"/>
      <c r="P23" s="8"/>
      <c r="Q23" s="8"/>
      <c r="R23" s="8"/>
      <c r="S23" s="8"/>
      <c r="T23" s="8"/>
    </row>
    <row r="24" spans="1:20" ht="18" x14ac:dyDescent="0.35">
      <c r="A24" s="8"/>
      <c r="B24" s="8"/>
      <c r="C24" s="8"/>
      <c r="D24" s="8"/>
      <c r="E24" s="8"/>
      <c r="F24" s="8"/>
      <c r="G24" s="9" t="s">
        <v>8</v>
      </c>
      <c r="H24" s="8"/>
      <c r="I24" s="8"/>
      <c r="J24" s="8"/>
      <c r="K24" s="8"/>
      <c r="L24" s="8"/>
      <c r="M24" s="8"/>
      <c r="N24" s="8"/>
      <c r="O24" s="8"/>
      <c r="P24" s="8"/>
      <c r="Q24" s="8"/>
      <c r="R24" s="8"/>
      <c r="S24" s="8"/>
      <c r="T24" s="8"/>
    </row>
    <row r="25" spans="1:20" ht="12" customHeight="1" x14ac:dyDescent="0.3">
      <c r="A25" s="8"/>
      <c r="B25" s="8"/>
      <c r="C25" s="8"/>
      <c r="D25" s="8"/>
      <c r="E25" s="8"/>
      <c r="F25" s="8"/>
      <c r="G25" s="8"/>
      <c r="H25" s="8"/>
      <c r="I25" s="8"/>
      <c r="J25" s="8"/>
      <c r="K25" s="8"/>
      <c r="L25" s="8"/>
      <c r="M25" s="8"/>
      <c r="N25" s="8"/>
      <c r="O25" s="8"/>
      <c r="P25" s="8"/>
      <c r="Q25" s="8"/>
      <c r="R25" s="8"/>
      <c r="S25" s="8"/>
      <c r="T25" s="8"/>
    </row>
    <row r="26" spans="1:20" hidden="1" x14ac:dyDescent="0.3">
      <c r="A26" s="8"/>
      <c r="B26" s="8"/>
      <c r="C26" s="8"/>
      <c r="D26" s="8"/>
      <c r="E26" s="8"/>
      <c r="F26" s="8"/>
      <c r="G26" s="8"/>
      <c r="H26" s="8"/>
      <c r="I26" s="8"/>
      <c r="J26" s="8"/>
      <c r="K26" s="8"/>
      <c r="L26" s="8"/>
      <c r="M26" s="8"/>
      <c r="N26" s="8"/>
      <c r="O26" s="8"/>
      <c r="P26" s="8"/>
      <c r="Q26" s="8"/>
      <c r="R26" s="8"/>
      <c r="S26" s="8"/>
      <c r="T26" s="8"/>
    </row>
    <row r="27" spans="1:20" hidden="1" x14ac:dyDescent="0.3">
      <c r="A27" s="8"/>
      <c r="B27" s="8"/>
      <c r="C27" s="8"/>
      <c r="D27" s="8"/>
      <c r="E27" s="8"/>
      <c r="F27" s="8"/>
      <c r="G27" s="8"/>
      <c r="H27" s="8"/>
      <c r="I27" s="8"/>
      <c r="J27" s="8"/>
      <c r="K27" s="8"/>
      <c r="L27" s="8"/>
      <c r="M27" s="8"/>
      <c r="N27" s="8"/>
      <c r="O27" s="8"/>
      <c r="P27" s="8"/>
      <c r="Q27" s="8"/>
      <c r="R27" s="8"/>
      <c r="S27" s="8"/>
      <c r="T27" s="8"/>
    </row>
    <row r="28" spans="1:20" hidden="1" x14ac:dyDescent="0.3">
      <c r="A28" s="8"/>
      <c r="B28" s="8"/>
      <c r="C28" s="8"/>
      <c r="D28" s="8"/>
      <c r="E28" s="8"/>
      <c r="F28" s="8"/>
      <c r="G28" s="8"/>
      <c r="H28" s="8"/>
      <c r="I28" s="8"/>
      <c r="J28" s="8"/>
      <c r="K28" s="8"/>
      <c r="L28" s="8"/>
      <c r="M28" s="8"/>
      <c r="N28" s="8"/>
      <c r="O28" s="8"/>
      <c r="P28" s="8"/>
      <c r="Q28" s="8"/>
      <c r="R28" s="8"/>
      <c r="S28" s="8"/>
      <c r="T28"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BB2F9-D8BD-47A5-B890-9F5C2CAEE982}">
  <dimension ref="A1:V34"/>
  <sheetViews>
    <sheetView workbookViewId="0"/>
  </sheetViews>
  <sheetFormatPr defaultRowHeight="14.4" x14ac:dyDescent="0.3"/>
  <sheetData>
    <row r="1" spans="1:22" x14ac:dyDescent="0.3">
      <c r="A1" s="6"/>
      <c r="B1" s="6"/>
      <c r="C1" s="6"/>
      <c r="D1" s="6"/>
      <c r="E1" s="6"/>
      <c r="F1" s="6"/>
      <c r="G1" s="6"/>
      <c r="H1" s="6"/>
      <c r="I1" s="6"/>
      <c r="J1" s="6"/>
      <c r="K1" s="6"/>
      <c r="L1" s="6"/>
      <c r="M1" s="6"/>
      <c r="N1" s="6"/>
      <c r="O1" s="6"/>
      <c r="P1" s="6"/>
      <c r="Q1" s="6"/>
      <c r="R1" s="6"/>
      <c r="S1" s="6"/>
      <c r="T1" s="6"/>
      <c r="U1" s="6"/>
      <c r="V1" s="6"/>
    </row>
    <row r="2" spans="1:22" x14ac:dyDescent="0.3">
      <c r="A2" s="6"/>
      <c r="B2" s="6"/>
      <c r="C2" s="6"/>
      <c r="D2" s="6"/>
      <c r="E2" s="6"/>
      <c r="F2" s="6"/>
      <c r="G2" s="6"/>
      <c r="H2" s="6"/>
      <c r="I2" s="6"/>
      <c r="J2" s="6"/>
      <c r="K2" s="6"/>
      <c r="L2" s="6"/>
      <c r="M2" s="6"/>
      <c r="N2" s="6"/>
      <c r="O2" s="6"/>
      <c r="P2" s="6"/>
      <c r="Q2" s="6"/>
      <c r="R2" s="6"/>
      <c r="S2" s="6"/>
      <c r="T2" s="6"/>
      <c r="U2" s="6"/>
      <c r="V2" s="6"/>
    </row>
    <row r="3" spans="1:22" x14ac:dyDescent="0.3">
      <c r="A3" s="6"/>
      <c r="B3" s="6"/>
      <c r="C3" s="6"/>
      <c r="D3" s="6"/>
      <c r="E3" s="6"/>
      <c r="F3" s="6"/>
      <c r="G3" s="6"/>
      <c r="H3" s="6"/>
      <c r="I3" s="6"/>
      <c r="J3" s="6"/>
      <c r="K3" s="6"/>
      <c r="L3" s="6"/>
      <c r="M3" s="6"/>
      <c r="N3" s="6"/>
      <c r="O3" s="6"/>
      <c r="P3" s="6"/>
      <c r="Q3" s="6"/>
      <c r="R3" s="6"/>
      <c r="S3" s="6"/>
      <c r="T3" s="6"/>
      <c r="U3" s="6"/>
      <c r="V3" s="6"/>
    </row>
    <row r="4" spans="1:22" x14ac:dyDescent="0.3">
      <c r="A4" s="6"/>
      <c r="B4" s="6"/>
      <c r="C4" s="6"/>
      <c r="D4" s="6"/>
      <c r="E4" s="6"/>
      <c r="F4" s="6"/>
      <c r="G4" s="6"/>
      <c r="H4" s="6"/>
      <c r="I4" s="6"/>
      <c r="J4" s="6"/>
      <c r="K4" s="6"/>
      <c r="L4" s="6"/>
      <c r="M4" s="6"/>
      <c r="N4" s="6"/>
      <c r="O4" s="6"/>
      <c r="P4" s="6"/>
      <c r="Q4" s="6"/>
      <c r="R4" s="6"/>
      <c r="S4" s="6"/>
      <c r="T4" s="6"/>
      <c r="U4" s="6"/>
      <c r="V4" s="6"/>
    </row>
    <row r="5" spans="1:22" x14ac:dyDescent="0.3">
      <c r="A5" s="6"/>
      <c r="B5" s="6"/>
      <c r="C5" s="6"/>
      <c r="D5" s="6"/>
      <c r="E5" s="6"/>
      <c r="F5" s="6"/>
      <c r="G5" s="6"/>
      <c r="H5" s="6"/>
      <c r="I5" s="6"/>
      <c r="J5" s="6"/>
      <c r="K5" s="6"/>
      <c r="L5" s="6"/>
      <c r="M5" s="6"/>
      <c r="N5" s="6"/>
      <c r="O5" s="6"/>
      <c r="P5" s="6"/>
      <c r="Q5" s="6"/>
      <c r="R5" s="6"/>
      <c r="S5" s="6"/>
      <c r="T5" s="6"/>
      <c r="U5" s="6"/>
      <c r="V5" s="6"/>
    </row>
    <row r="6" spans="1:22" x14ac:dyDescent="0.3">
      <c r="A6" s="6"/>
      <c r="B6" s="6"/>
      <c r="C6" s="6"/>
      <c r="D6" s="6"/>
      <c r="E6" s="6"/>
      <c r="F6" s="6"/>
      <c r="G6" s="6"/>
      <c r="H6" s="6"/>
      <c r="I6" s="6"/>
      <c r="J6" s="6"/>
      <c r="K6" s="6"/>
      <c r="L6" s="6"/>
      <c r="M6" s="6"/>
      <c r="N6" s="6"/>
      <c r="O6" s="6"/>
      <c r="P6" s="6"/>
      <c r="Q6" s="6"/>
      <c r="R6" s="6"/>
      <c r="S6" s="6"/>
      <c r="T6" s="6"/>
      <c r="U6" s="6"/>
      <c r="V6" s="6"/>
    </row>
    <row r="7" spans="1:22" x14ac:dyDescent="0.3">
      <c r="A7" s="6"/>
      <c r="B7" s="6"/>
      <c r="C7" s="6"/>
      <c r="D7" s="6"/>
      <c r="E7" s="6"/>
      <c r="F7" s="6"/>
      <c r="G7" s="6"/>
      <c r="H7" s="6"/>
      <c r="I7" s="6"/>
      <c r="J7" s="6"/>
      <c r="K7" s="6"/>
      <c r="L7" s="6"/>
      <c r="M7" s="6"/>
      <c r="N7" s="6"/>
      <c r="O7" s="6"/>
      <c r="P7" s="6"/>
      <c r="Q7" s="6"/>
      <c r="R7" s="6"/>
      <c r="S7" s="6"/>
      <c r="T7" s="6"/>
      <c r="U7" s="6"/>
      <c r="V7" s="6"/>
    </row>
    <row r="8" spans="1:22" x14ac:dyDescent="0.3">
      <c r="A8" s="6"/>
      <c r="B8" s="6"/>
      <c r="C8" s="6"/>
      <c r="D8" s="6"/>
      <c r="E8" s="6"/>
      <c r="F8" s="6"/>
      <c r="G8" s="6"/>
      <c r="H8" s="6"/>
      <c r="I8" s="6"/>
      <c r="J8" s="6"/>
      <c r="K8" s="6"/>
      <c r="L8" s="6"/>
      <c r="M8" s="6"/>
      <c r="N8" s="6"/>
      <c r="O8" s="6"/>
      <c r="P8" s="6"/>
      <c r="Q8" s="6"/>
      <c r="R8" s="6"/>
      <c r="S8" s="6"/>
      <c r="T8" s="6"/>
      <c r="U8" s="6"/>
      <c r="V8" s="6"/>
    </row>
    <row r="9" spans="1:22" x14ac:dyDescent="0.3">
      <c r="A9" s="6"/>
      <c r="B9" s="6"/>
      <c r="C9" s="6"/>
      <c r="D9" s="6"/>
      <c r="E9" s="6"/>
      <c r="F9" s="6"/>
      <c r="G9" s="6"/>
      <c r="H9" s="6"/>
      <c r="I9" s="6"/>
      <c r="J9" s="6"/>
      <c r="K9" s="6"/>
      <c r="L9" s="6"/>
      <c r="M9" s="6"/>
      <c r="N9" s="6"/>
      <c r="O9" s="6"/>
      <c r="P9" s="6"/>
      <c r="Q9" s="6"/>
      <c r="R9" s="6"/>
      <c r="S9" s="6"/>
      <c r="T9" s="6"/>
      <c r="U9" s="6"/>
      <c r="V9" s="6"/>
    </row>
    <row r="10" spans="1:22" x14ac:dyDescent="0.3">
      <c r="A10" s="6"/>
      <c r="B10" s="6"/>
      <c r="C10" s="6"/>
      <c r="D10" s="6"/>
      <c r="E10" s="6"/>
      <c r="F10" s="6"/>
      <c r="G10" s="6"/>
      <c r="H10" s="6"/>
      <c r="I10" s="6"/>
      <c r="J10" s="6"/>
      <c r="K10" s="6"/>
      <c r="L10" s="6"/>
      <c r="M10" s="6"/>
      <c r="N10" s="6"/>
      <c r="O10" s="6"/>
      <c r="P10" s="6"/>
      <c r="Q10" s="6"/>
      <c r="R10" s="6"/>
      <c r="S10" s="6"/>
      <c r="T10" s="6"/>
      <c r="U10" s="6"/>
      <c r="V10" s="6"/>
    </row>
    <row r="11" spans="1:22" x14ac:dyDescent="0.3">
      <c r="A11" s="6"/>
      <c r="B11" s="6"/>
      <c r="C11" s="6"/>
      <c r="D11" s="6"/>
      <c r="E11" s="6"/>
      <c r="F11" s="6"/>
      <c r="G11" s="6"/>
      <c r="H11" s="6"/>
      <c r="I11" s="6"/>
      <c r="J11" s="6"/>
      <c r="K11" s="6"/>
      <c r="L11" s="6"/>
      <c r="M11" s="6"/>
      <c r="N11" s="6"/>
      <c r="O11" s="6"/>
      <c r="P11" s="6"/>
      <c r="Q11" s="6"/>
      <c r="R11" s="6"/>
      <c r="S11" s="6"/>
      <c r="T11" s="6"/>
      <c r="U11" s="6"/>
      <c r="V11" s="6"/>
    </row>
    <row r="12" spans="1:22" x14ac:dyDescent="0.3">
      <c r="A12" s="6"/>
      <c r="B12" s="6"/>
      <c r="C12" s="6"/>
      <c r="D12" s="6"/>
      <c r="E12" s="6"/>
      <c r="F12" s="6"/>
      <c r="G12" s="6"/>
      <c r="H12" s="6"/>
      <c r="I12" s="6"/>
      <c r="J12" s="6"/>
      <c r="K12" s="6"/>
      <c r="L12" s="6"/>
      <c r="M12" s="6"/>
      <c r="N12" s="6"/>
      <c r="O12" s="6"/>
      <c r="P12" s="6"/>
      <c r="Q12" s="6"/>
      <c r="R12" s="6"/>
      <c r="S12" s="6"/>
      <c r="T12" s="6"/>
      <c r="U12" s="6"/>
      <c r="V12" s="6"/>
    </row>
    <row r="13" spans="1:22" x14ac:dyDescent="0.3">
      <c r="A13" s="6"/>
      <c r="B13" s="6"/>
      <c r="C13" s="6"/>
      <c r="D13" s="6"/>
      <c r="E13" s="6"/>
      <c r="F13" s="6"/>
      <c r="G13" s="6"/>
      <c r="H13" s="6"/>
      <c r="I13" s="6"/>
      <c r="J13" s="6"/>
      <c r="K13" s="6"/>
      <c r="L13" s="6"/>
      <c r="M13" s="6"/>
      <c r="N13" s="6"/>
      <c r="O13" s="6"/>
      <c r="P13" s="6"/>
      <c r="Q13" s="6"/>
      <c r="R13" s="6"/>
      <c r="S13" s="6"/>
      <c r="T13" s="6"/>
      <c r="U13" s="6"/>
      <c r="V13" s="6"/>
    </row>
    <row r="14" spans="1:22" x14ac:dyDescent="0.3">
      <c r="A14" s="6"/>
      <c r="B14" s="6"/>
      <c r="C14" s="6"/>
      <c r="D14" s="6"/>
      <c r="E14" s="6"/>
      <c r="F14" s="6"/>
      <c r="G14" s="6"/>
      <c r="H14" s="6"/>
      <c r="I14" s="6"/>
      <c r="J14" s="6"/>
      <c r="K14" s="6"/>
      <c r="L14" s="6"/>
      <c r="M14" s="6"/>
      <c r="N14" s="6"/>
      <c r="O14" s="6"/>
      <c r="P14" s="6"/>
      <c r="Q14" s="6"/>
      <c r="R14" s="6"/>
      <c r="S14" s="6"/>
      <c r="T14" s="6"/>
      <c r="U14" s="6"/>
      <c r="V14" s="6"/>
    </row>
    <row r="15" spans="1:22" x14ac:dyDescent="0.3">
      <c r="A15" s="6"/>
      <c r="B15" s="6"/>
      <c r="C15" s="6"/>
      <c r="D15" s="6"/>
      <c r="E15" s="6"/>
      <c r="F15" s="6"/>
      <c r="G15" s="6"/>
      <c r="H15" s="6"/>
      <c r="I15" s="6"/>
      <c r="J15" s="6"/>
      <c r="K15" s="6"/>
      <c r="L15" s="6"/>
      <c r="M15" s="6"/>
      <c r="N15" s="6"/>
      <c r="O15" s="6"/>
      <c r="P15" s="6"/>
      <c r="Q15" s="6"/>
      <c r="R15" s="6"/>
      <c r="S15" s="6"/>
      <c r="T15" s="6"/>
      <c r="U15" s="6"/>
      <c r="V15" s="6"/>
    </row>
    <row r="16" spans="1:22" x14ac:dyDescent="0.3">
      <c r="A16" s="6"/>
      <c r="B16" s="6"/>
      <c r="C16" s="6"/>
      <c r="D16" s="6"/>
      <c r="E16" s="6"/>
      <c r="F16" s="6"/>
      <c r="G16" s="6"/>
      <c r="H16" s="6"/>
      <c r="I16" s="6"/>
      <c r="J16" s="6"/>
      <c r="K16" s="6"/>
      <c r="L16" s="6"/>
      <c r="M16" s="6"/>
      <c r="N16" s="6"/>
      <c r="O16" s="6"/>
      <c r="P16" s="6"/>
      <c r="Q16" s="6"/>
      <c r="R16" s="6"/>
      <c r="S16" s="6"/>
      <c r="T16" s="6"/>
      <c r="U16" s="6"/>
      <c r="V16" s="6"/>
    </row>
    <row r="17" spans="1:22" x14ac:dyDescent="0.3">
      <c r="A17" s="6"/>
      <c r="B17" s="6"/>
      <c r="C17" s="6"/>
      <c r="D17" s="6"/>
      <c r="E17" s="6"/>
      <c r="F17" s="6"/>
      <c r="G17" s="6"/>
      <c r="H17" s="6"/>
      <c r="I17" s="6"/>
      <c r="J17" s="6"/>
      <c r="K17" s="6"/>
      <c r="L17" s="6"/>
      <c r="M17" s="6"/>
      <c r="N17" s="6"/>
      <c r="O17" s="6"/>
      <c r="P17" s="6"/>
      <c r="Q17" s="6"/>
      <c r="R17" s="6"/>
      <c r="S17" s="6"/>
      <c r="T17" s="6"/>
      <c r="U17" s="6"/>
      <c r="V17" s="6"/>
    </row>
    <row r="18" spans="1:22" x14ac:dyDescent="0.3">
      <c r="A18" s="6"/>
      <c r="B18" s="6"/>
      <c r="C18" s="6"/>
      <c r="D18" s="6"/>
      <c r="E18" s="6"/>
      <c r="F18" s="6"/>
      <c r="G18" s="6"/>
      <c r="H18" s="6"/>
      <c r="I18" s="6"/>
      <c r="J18" s="6"/>
      <c r="K18" s="6"/>
      <c r="L18" s="6"/>
      <c r="M18" s="6"/>
      <c r="N18" s="6"/>
      <c r="O18" s="6"/>
      <c r="P18" s="6"/>
      <c r="Q18" s="6"/>
      <c r="R18" s="6"/>
      <c r="S18" s="6"/>
      <c r="T18" s="6"/>
      <c r="U18" s="6"/>
      <c r="V18" s="6"/>
    </row>
    <row r="19" spans="1:22" x14ac:dyDescent="0.3">
      <c r="A19" s="6"/>
      <c r="B19" s="6"/>
      <c r="C19" s="6"/>
      <c r="D19" s="6"/>
      <c r="E19" s="6"/>
      <c r="F19" s="6"/>
      <c r="G19" s="6"/>
      <c r="H19" s="6"/>
      <c r="I19" s="6"/>
      <c r="J19" s="6"/>
      <c r="K19" s="6"/>
      <c r="L19" s="6"/>
      <c r="M19" s="6"/>
      <c r="N19" s="6"/>
      <c r="O19" s="6"/>
      <c r="P19" s="6"/>
      <c r="Q19" s="6"/>
      <c r="R19" s="6"/>
      <c r="S19" s="6"/>
      <c r="T19" s="6"/>
      <c r="U19" s="6"/>
      <c r="V19" s="6"/>
    </row>
    <row r="20" spans="1:22" x14ac:dyDescent="0.3">
      <c r="A20" s="6"/>
      <c r="B20" s="6"/>
      <c r="C20" s="6"/>
      <c r="D20" s="6"/>
      <c r="E20" s="6"/>
      <c r="F20" s="6"/>
      <c r="G20" s="6"/>
      <c r="H20" s="6"/>
      <c r="I20" s="6"/>
      <c r="J20" s="6"/>
      <c r="K20" s="6"/>
      <c r="L20" s="6"/>
      <c r="M20" s="6"/>
      <c r="N20" s="6"/>
      <c r="O20" s="6"/>
      <c r="P20" s="6"/>
      <c r="Q20" s="6"/>
      <c r="R20" s="6"/>
      <c r="S20" s="6"/>
      <c r="T20" s="6"/>
      <c r="U20" s="6"/>
      <c r="V20" s="6"/>
    </row>
    <row r="21" spans="1:22" x14ac:dyDescent="0.3">
      <c r="A21" s="6"/>
      <c r="B21" s="6"/>
      <c r="C21" s="6"/>
      <c r="D21" s="6"/>
      <c r="E21" s="6"/>
      <c r="F21" s="6"/>
      <c r="G21" s="6"/>
      <c r="H21" s="6"/>
      <c r="I21" s="6"/>
      <c r="J21" s="6"/>
      <c r="K21" s="6"/>
      <c r="L21" s="6"/>
      <c r="M21" s="6"/>
      <c r="N21" s="6"/>
      <c r="O21" s="6"/>
      <c r="P21" s="6"/>
      <c r="Q21" s="6"/>
      <c r="R21" s="6"/>
      <c r="S21" s="6"/>
      <c r="T21" s="6"/>
      <c r="U21" s="6"/>
      <c r="V21" s="6"/>
    </row>
    <row r="22" spans="1:22" x14ac:dyDescent="0.3">
      <c r="A22" s="6"/>
      <c r="B22" s="6"/>
      <c r="C22" s="6"/>
      <c r="D22" s="6"/>
      <c r="E22" s="6"/>
      <c r="F22" s="6"/>
      <c r="G22" s="6"/>
      <c r="H22" s="6"/>
      <c r="I22" s="6"/>
      <c r="J22" s="6"/>
      <c r="K22" s="6"/>
      <c r="L22" s="6"/>
      <c r="M22" s="6"/>
      <c r="N22" s="6"/>
      <c r="O22" s="6"/>
      <c r="P22" s="6"/>
      <c r="Q22" s="6"/>
      <c r="R22" s="6"/>
      <c r="S22" s="6"/>
      <c r="T22" s="6"/>
      <c r="U22" s="6"/>
      <c r="V22" s="6"/>
    </row>
    <row r="23" spans="1:22" x14ac:dyDescent="0.3">
      <c r="A23" s="6"/>
      <c r="B23" s="6"/>
      <c r="C23" s="6"/>
      <c r="D23" s="6"/>
      <c r="E23" s="6"/>
      <c r="F23" s="6"/>
      <c r="G23" s="6"/>
      <c r="H23" s="6"/>
      <c r="I23" s="6"/>
      <c r="J23" s="6"/>
      <c r="K23" s="6"/>
      <c r="L23" s="6"/>
      <c r="M23" s="6"/>
      <c r="N23" s="6"/>
      <c r="O23" s="6"/>
      <c r="P23" s="6"/>
      <c r="Q23" s="6"/>
      <c r="R23" s="6"/>
      <c r="S23" s="6"/>
      <c r="T23" s="6"/>
      <c r="U23" s="6"/>
      <c r="V23" s="6"/>
    </row>
    <row r="24" spans="1:22" x14ac:dyDescent="0.3">
      <c r="A24" s="6"/>
      <c r="B24" s="6"/>
      <c r="C24" s="6"/>
      <c r="D24" s="6"/>
      <c r="E24" s="6"/>
      <c r="F24" s="6"/>
      <c r="G24" s="6"/>
      <c r="H24" s="6"/>
      <c r="I24" s="6"/>
      <c r="J24" s="6"/>
      <c r="K24" s="6"/>
      <c r="L24" s="6"/>
      <c r="M24" s="6"/>
      <c r="N24" s="6"/>
      <c r="O24" s="6"/>
      <c r="P24" s="6"/>
      <c r="Q24" s="6"/>
      <c r="R24" s="6"/>
      <c r="S24" s="6"/>
      <c r="T24" s="6"/>
      <c r="U24" s="6"/>
      <c r="V24" s="6"/>
    </row>
    <row r="25" spans="1:22" x14ac:dyDescent="0.3">
      <c r="A25" s="6"/>
      <c r="B25" s="6"/>
      <c r="C25" s="6"/>
      <c r="D25" s="6"/>
      <c r="E25" s="6"/>
      <c r="F25" s="6"/>
      <c r="G25" s="6"/>
      <c r="H25" s="6"/>
      <c r="I25" s="6"/>
      <c r="J25" s="6"/>
      <c r="K25" s="6"/>
      <c r="L25" s="6"/>
      <c r="M25" s="6"/>
      <c r="N25" s="6"/>
      <c r="O25" s="6"/>
      <c r="P25" s="6"/>
      <c r="Q25" s="6"/>
      <c r="R25" s="6"/>
      <c r="S25" s="6"/>
      <c r="T25" s="6"/>
      <c r="U25" s="6"/>
      <c r="V25" s="6"/>
    </row>
    <row r="26" spans="1:22" x14ac:dyDescent="0.3">
      <c r="A26" s="6"/>
      <c r="B26" s="6"/>
      <c r="C26" s="6"/>
      <c r="D26" s="6"/>
      <c r="E26" s="6"/>
      <c r="F26" s="6"/>
      <c r="G26" s="6"/>
      <c r="H26" s="6"/>
      <c r="I26" s="6"/>
      <c r="J26" s="6"/>
      <c r="K26" s="6"/>
      <c r="L26" s="6"/>
      <c r="M26" s="6"/>
      <c r="N26" s="6"/>
      <c r="O26" s="6"/>
      <c r="P26" s="6"/>
      <c r="Q26" s="6"/>
      <c r="R26" s="6"/>
      <c r="S26" s="6"/>
      <c r="T26" s="6"/>
      <c r="U26" s="6"/>
      <c r="V26" s="6"/>
    </row>
    <row r="27" spans="1:22" x14ac:dyDescent="0.3">
      <c r="A27" s="6"/>
      <c r="B27" s="6"/>
      <c r="C27" s="6"/>
      <c r="D27" s="6"/>
      <c r="E27" s="6"/>
      <c r="F27" s="6"/>
      <c r="G27" s="6"/>
      <c r="H27" s="6"/>
      <c r="I27" s="6"/>
      <c r="J27" s="6"/>
      <c r="K27" s="6"/>
      <c r="L27" s="6"/>
      <c r="M27" s="6"/>
      <c r="N27" s="6"/>
      <c r="O27" s="6"/>
      <c r="P27" s="6"/>
      <c r="Q27" s="6"/>
      <c r="R27" s="6"/>
      <c r="S27" s="6"/>
      <c r="T27" s="6"/>
      <c r="U27" s="6"/>
      <c r="V27" s="6"/>
    </row>
    <row r="28" spans="1:22" x14ac:dyDescent="0.3">
      <c r="A28" s="6"/>
      <c r="B28" s="6"/>
      <c r="C28" s="6"/>
      <c r="D28" s="6"/>
      <c r="E28" s="6"/>
      <c r="F28" s="6"/>
      <c r="G28" s="6"/>
      <c r="H28" s="6"/>
      <c r="I28" s="6"/>
      <c r="J28" s="6"/>
      <c r="K28" s="6"/>
      <c r="L28" s="6"/>
      <c r="M28" s="6"/>
      <c r="N28" s="6"/>
      <c r="O28" s="6"/>
      <c r="P28" s="6"/>
      <c r="Q28" s="6"/>
      <c r="R28" s="6"/>
      <c r="S28" s="6"/>
      <c r="T28" s="6"/>
      <c r="U28" s="6"/>
      <c r="V28" s="6"/>
    </row>
    <row r="29" spans="1:22" ht="18" x14ac:dyDescent="0.35">
      <c r="A29" s="6"/>
      <c r="B29" s="6"/>
      <c r="C29" s="6"/>
      <c r="D29" s="6"/>
      <c r="E29" s="7" t="s">
        <v>7</v>
      </c>
      <c r="F29" s="7"/>
      <c r="G29" s="7"/>
      <c r="H29" s="7"/>
      <c r="I29" s="7"/>
      <c r="J29" s="7"/>
      <c r="K29" s="6"/>
      <c r="L29" s="6"/>
      <c r="M29" s="6"/>
      <c r="N29" s="6"/>
      <c r="O29" s="6"/>
      <c r="P29" s="6"/>
      <c r="Q29" s="6"/>
      <c r="R29" s="6"/>
      <c r="S29" s="6"/>
      <c r="T29" s="6"/>
      <c r="U29" s="6"/>
      <c r="V29" s="6"/>
    </row>
    <row r="30" spans="1:22" x14ac:dyDescent="0.3">
      <c r="A30" s="6"/>
      <c r="B30" s="6"/>
      <c r="C30" s="6"/>
      <c r="D30" s="6"/>
      <c r="E30" s="6"/>
      <c r="F30" s="6"/>
      <c r="G30" s="6"/>
      <c r="H30" s="6"/>
      <c r="I30" s="6"/>
      <c r="J30" s="6"/>
      <c r="K30" s="6"/>
      <c r="L30" s="6"/>
      <c r="M30" s="6"/>
      <c r="N30" s="6"/>
      <c r="O30" s="6"/>
      <c r="P30" s="6"/>
      <c r="Q30" s="6"/>
      <c r="R30" s="6"/>
      <c r="S30" s="6"/>
      <c r="T30" s="6"/>
      <c r="U30" s="6"/>
      <c r="V30" s="6"/>
    </row>
    <row r="31" spans="1:22" x14ac:dyDescent="0.3">
      <c r="A31" s="6"/>
      <c r="B31" s="6"/>
      <c r="C31" s="6"/>
      <c r="D31" s="6"/>
      <c r="E31" s="6"/>
      <c r="F31" s="6"/>
      <c r="G31" s="6"/>
      <c r="H31" s="6"/>
      <c r="I31" s="6"/>
      <c r="J31" s="6"/>
      <c r="K31" s="6"/>
      <c r="L31" s="6"/>
      <c r="M31" s="6"/>
      <c r="N31" s="6"/>
      <c r="O31" s="6"/>
      <c r="P31" s="6"/>
      <c r="Q31" s="6"/>
      <c r="R31" s="6"/>
      <c r="S31" s="6"/>
      <c r="T31" s="6"/>
      <c r="U31" s="6"/>
      <c r="V31" s="6"/>
    </row>
    <row r="32" spans="1:22" x14ac:dyDescent="0.3">
      <c r="A32" s="6"/>
      <c r="B32" s="6"/>
      <c r="C32" s="6"/>
      <c r="D32" s="6"/>
      <c r="E32" s="6"/>
      <c r="F32" s="6"/>
      <c r="G32" s="6"/>
      <c r="H32" s="6"/>
      <c r="I32" s="6"/>
      <c r="J32" s="6"/>
      <c r="K32" s="6"/>
      <c r="L32" s="6"/>
      <c r="M32" s="6"/>
      <c r="N32" s="6"/>
      <c r="O32" s="6"/>
      <c r="P32" s="6"/>
      <c r="Q32" s="6"/>
      <c r="R32" s="6"/>
      <c r="S32" s="6"/>
      <c r="T32" s="6"/>
      <c r="U32" s="6"/>
      <c r="V32" s="6"/>
    </row>
    <row r="33" spans="1:22" x14ac:dyDescent="0.3">
      <c r="A33" s="6"/>
      <c r="B33" s="6"/>
      <c r="C33" s="6"/>
      <c r="D33" s="6"/>
      <c r="E33" s="6"/>
      <c r="F33" s="6"/>
      <c r="G33" s="6"/>
      <c r="H33" s="6"/>
      <c r="I33" s="6"/>
      <c r="J33" s="6"/>
      <c r="K33" s="6"/>
      <c r="L33" s="6"/>
      <c r="M33" s="6"/>
      <c r="N33" s="6"/>
      <c r="O33" s="6"/>
      <c r="P33" s="6"/>
      <c r="Q33" s="6"/>
      <c r="R33" s="6"/>
      <c r="S33" s="6"/>
      <c r="T33" s="6"/>
      <c r="U33" s="6"/>
      <c r="V33" s="6"/>
    </row>
    <row r="34" spans="1:22" x14ac:dyDescent="0.3">
      <c r="A34" s="6"/>
      <c r="B34" s="6"/>
      <c r="C34" s="6"/>
      <c r="D34" s="6"/>
      <c r="E34" s="6"/>
      <c r="F34" s="6"/>
      <c r="G34" s="6"/>
      <c r="H34" s="6"/>
      <c r="I34" s="6"/>
      <c r="J34" s="6"/>
      <c r="K34" s="6"/>
      <c r="L34" s="6"/>
      <c r="M34" s="6"/>
      <c r="N34" s="6"/>
      <c r="O34" s="6"/>
      <c r="P34" s="6"/>
      <c r="Q34" s="6"/>
      <c r="R34" s="6"/>
      <c r="S34" s="6"/>
      <c r="T34" s="6"/>
      <c r="U34" s="6"/>
      <c r="V34"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17ECB-4E73-4C99-B32F-25A0A33A8580}">
  <dimension ref="A1:V34"/>
  <sheetViews>
    <sheetView workbookViewId="0"/>
  </sheetViews>
  <sheetFormatPr defaultRowHeight="14.4" x14ac:dyDescent="0.3"/>
  <sheetData>
    <row r="1" spans="1:22" x14ac:dyDescent="0.3">
      <c r="A1" s="6"/>
      <c r="B1" s="6"/>
      <c r="C1" s="6"/>
      <c r="D1" s="6"/>
      <c r="E1" s="6"/>
      <c r="F1" s="6"/>
      <c r="G1" s="6"/>
      <c r="H1" s="6"/>
      <c r="I1" s="6"/>
      <c r="J1" s="6"/>
      <c r="K1" s="6"/>
      <c r="L1" s="6"/>
      <c r="M1" s="6"/>
      <c r="N1" s="6"/>
      <c r="O1" s="6"/>
      <c r="P1" s="6"/>
      <c r="Q1" s="6"/>
      <c r="R1" s="6"/>
      <c r="S1" s="6"/>
      <c r="T1" s="6"/>
      <c r="U1" s="6"/>
      <c r="V1" s="6"/>
    </row>
    <row r="2" spans="1:22" x14ac:dyDescent="0.3">
      <c r="A2" s="6"/>
      <c r="B2" s="6"/>
      <c r="C2" s="6"/>
      <c r="D2" s="6"/>
      <c r="E2" s="6"/>
      <c r="F2" s="6"/>
      <c r="G2" s="6"/>
      <c r="H2" s="6"/>
      <c r="I2" s="6"/>
      <c r="J2" s="6"/>
      <c r="K2" s="6"/>
      <c r="L2" s="6"/>
      <c r="M2" s="6"/>
      <c r="N2" s="6"/>
      <c r="O2" s="6"/>
      <c r="P2" s="6"/>
      <c r="Q2" s="6"/>
      <c r="R2" s="6"/>
      <c r="S2" s="6"/>
      <c r="T2" s="6"/>
      <c r="U2" s="6"/>
      <c r="V2" s="6"/>
    </row>
    <row r="3" spans="1:22" x14ac:dyDescent="0.3">
      <c r="A3" s="6"/>
      <c r="B3" s="6"/>
      <c r="C3" s="6"/>
      <c r="D3" s="6"/>
      <c r="E3" s="6"/>
      <c r="F3" s="6"/>
      <c r="G3" s="6"/>
      <c r="H3" s="6"/>
      <c r="I3" s="6"/>
      <c r="J3" s="6"/>
      <c r="K3" s="6"/>
      <c r="L3" s="6"/>
      <c r="M3" s="6"/>
      <c r="N3" s="6"/>
      <c r="O3" s="6"/>
      <c r="P3" s="6"/>
      <c r="Q3" s="6"/>
      <c r="R3" s="6"/>
      <c r="S3" s="6"/>
      <c r="T3" s="6"/>
      <c r="U3" s="6"/>
      <c r="V3" s="6"/>
    </row>
    <row r="4" spans="1:22" x14ac:dyDescent="0.3">
      <c r="A4" s="6"/>
      <c r="B4" s="6"/>
      <c r="C4" s="6"/>
      <c r="D4" s="6"/>
      <c r="E4" s="6"/>
      <c r="F4" s="6"/>
      <c r="G4" s="6"/>
      <c r="H4" s="6"/>
      <c r="I4" s="6"/>
      <c r="J4" s="6"/>
      <c r="K4" s="6"/>
      <c r="L4" s="6"/>
      <c r="M4" s="6"/>
      <c r="N4" s="6"/>
      <c r="O4" s="6"/>
      <c r="P4" s="6"/>
      <c r="Q4" s="6"/>
      <c r="R4" s="6"/>
      <c r="S4" s="6"/>
      <c r="T4" s="6"/>
      <c r="U4" s="6"/>
      <c r="V4" s="6"/>
    </row>
    <row r="5" spans="1:22" x14ac:dyDescent="0.3">
      <c r="A5" s="6"/>
      <c r="B5" s="6"/>
      <c r="C5" s="6"/>
      <c r="D5" s="6"/>
      <c r="E5" s="6"/>
      <c r="F5" s="6"/>
      <c r="G5" s="6"/>
      <c r="H5" s="6"/>
      <c r="I5" s="6"/>
      <c r="J5" s="6"/>
      <c r="K5" s="6"/>
      <c r="L5" s="6"/>
      <c r="M5" s="6"/>
      <c r="N5" s="6"/>
      <c r="O5" s="6"/>
      <c r="P5" s="6"/>
      <c r="Q5" s="6"/>
      <c r="R5" s="6"/>
      <c r="S5" s="6"/>
      <c r="T5" s="6"/>
      <c r="U5" s="6"/>
      <c r="V5" s="6"/>
    </row>
    <row r="6" spans="1:22" x14ac:dyDescent="0.3">
      <c r="A6" s="6"/>
      <c r="B6" s="6"/>
      <c r="C6" s="6"/>
      <c r="D6" s="6"/>
      <c r="E6" s="6"/>
      <c r="F6" s="6"/>
      <c r="G6" s="6"/>
      <c r="H6" s="6"/>
      <c r="I6" s="6"/>
      <c r="J6" s="6"/>
      <c r="K6" s="6"/>
      <c r="L6" s="6"/>
      <c r="M6" s="6"/>
      <c r="N6" s="6"/>
      <c r="O6" s="6"/>
      <c r="P6" s="6"/>
      <c r="Q6" s="6"/>
      <c r="R6" s="6"/>
      <c r="S6" s="6"/>
      <c r="T6" s="6"/>
      <c r="U6" s="6"/>
      <c r="V6" s="6"/>
    </row>
    <row r="7" spans="1:22" x14ac:dyDescent="0.3">
      <c r="A7" s="6"/>
      <c r="B7" s="6"/>
      <c r="C7" s="6"/>
      <c r="D7" s="6"/>
      <c r="E7" s="6"/>
      <c r="F7" s="6"/>
      <c r="G7" s="6"/>
      <c r="H7" s="6"/>
      <c r="I7" s="6"/>
      <c r="J7" s="6"/>
      <c r="K7" s="6"/>
      <c r="L7" s="6"/>
      <c r="M7" s="6"/>
      <c r="N7" s="6"/>
      <c r="O7" s="6"/>
      <c r="P7" s="6"/>
      <c r="Q7" s="6"/>
      <c r="R7" s="6"/>
      <c r="S7" s="6"/>
      <c r="T7" s="6"/>
      <c r="U7" s="6"/>
      <c r="V7" s="6"/>
    </row>
    <row r="8" spans="1:22" x14ac:dyDescent="0.3">
      <c r="A8" s="6"/>
      <c r="B8" s="6"/>
      <c r="C8" s="6"/>
      <c r="D8" s="6"/>
      <c r="E8" s="6"/>
      <c r="F8" s="6"/>
      <c r="G8" s="6"/>
      <c r="H8" s="6"/>
      <c r="I8" s="6"/>
      <c r="J8" s="6"/>
      <c r="K8" s="6"/>
      <c r="L8" s="6"/>
      <c r="M8" s="6"/>
      <c r="N8" s="6"/>
      <c r="O8" s="6"/>
      <c r="P8" s="6"/>
      <c r="Q8" s="6"/>
      <c r="R8" s="6"/>
      <c r="S8" s="6"/>
      <c r="T8" s="6"/>
      <c r="U8" s="6"/>
      <c r="V8" s="6"/>
    </row>
    <row r="9" spans="1:22" x14ac:dyDescent="0.3">
      <c r="A9" s="6"/>
      <c r="B9" s="6"/>
      <c r="C9" s="6"/>
      <c r="D9" s="6"/>
      <c r="E9" s="6"/>
      <c r="F9" s="6"/>
      <c r="G9" s="6"/>
      <c r="H9" s="6"/>
      <c r="I9" s="6"/>
      <c r="J9" s="6"/>
      <c r="K9" s="6"/>
      <c r="L9" s="6"/>
      <c r="M9" s="6"/>
      <c r="N9" s="6"/>
      <c r="O9" s="6"/>
      <c r="P9" s="6"/>
      <c r="Q9" s="6"/>
      <c r="R9" s="6"/>
      <c r="S9" s="6"/>
      <c r="T9" s="6"/>
      <c r="U9" s="6"/>
      <c r="V9" s="6"/>
    </row>
    <row r="10" spans="1:22" x14ac:dyDescent="0.3">
      <c r="A10" s="6"/>
      <c r="B10" s="6"/>
      <c r="C10" s="6"/>
      <c r="D10" s="6"/>
      <c r="E10" s="6"/>
      <c r="F10" s="6"/>
      <c r="G10" s="6"/>
      <c r="H10" s="6"/>
      <c r="I10" s="6"/>
      <c r="J10" s="6"/>
      <c r="K10" s="6"/>
      <c r="L10" s="6"/>
      <c r="M10" s="6"/>
      <c r="N10" s="6"/>
      <c r="O10" s="6"/>
      <c r="P10" s="6"/>
      <c r="Q10" s="6"/>
      <c r="R10" s="6"/>
      <c r="S10" s="6"/>
      <c r="T10" s="6"/>
      <c r="U10" s="6"/>
      <c r="V10" s="6"/>
    </row>
    <row r="11" spans="1:22" x14ac:dyDescent="0.3">
      <c r="A11" s="6"/>
      <c r="B11" s="6"/>
      <c r="C11" s="6"/>
      <c r="D11" s="6"/>
      <c r="E11" s="6"/>
      <c r="F11" s="6"/>
      <c r="G11" s="6"/>
      <c r="H11" s="6"/>
      <c r="I11" s="6"/>
      <c r="J11" s="6"/>
      <c r="K11" s="6"/>
      <c r="L11" s="6"/>
      <c r="M11" s="6"/>
      <c r="N11" s="6"/>
      <c r="O11" s="6"/>
      <c r="P11" s="6"/>
      <c r="Q11" s="6"/>
      <c r="R11" s="6"/>
      <c r="S11" s="6"/>
      <c r="T11" s="6"/>
      <c r="U11" s="6"/>
      <c r="V11" s="6"/>
    </row>
    <row r="12" spans="1:22" x14ac:dyDescent="0.3">
      <c r="A12" s="6"/>
      <c r="B12" s="6"/>
      <c r="C12" s="6"/>
      <c r="D12" s="6"/>
      <c r="E12" s="6"/>
      <c r="F12" s="6"/>
      <c r="G12" s="6"/>
      <c r="H12" s="6"/>
      <c r="I12" s="6"/>
      <c r="J12" s="6"/>
      <c r="K12" s="6"/>
      <c r="L12" s="6"/>
      <c r="M12" s="6"/>
      <c r="N12" s="6"/>
      <c r="O12" s="6"/>
      <c r="P12" s="6"/>
      <c r="Q12" s="6"/>
      <c r="R12" s="6"/>
      <c r="S12" s="6"/>
      <c r="T12" s="6"/>
      <c r="U12" s="6"/>
      <c r="V12" s="6"/>
    </row>
    <row r="13" spans="1:22" x14ac:dyDescent="0.3">
      <c r="A13" s="6"/>
      <c r="B13" s="6"/>
      <c r="C13" s="6"/>
      <c r="D13" s="6"/>
      <c r="E13" s="6"/>
      <c r="F13" s="6"/>
      <c r="G13" s="6"/>
      <c r="H13" s="6"/>
      <c r="I13" s="6"/>
      <c r="J13" s="6"/>
      <c r="K13" s="6"/>
      <c r="L13" s="6"/>
      <c r="M13" s="6"/>
      <c r="N13" s="6"/>
      <c r="O13" s="6"/>
      <c r="P13" s="6"/>
      <c r="Q13" s="6"/>
      <c r="R13" s="6"/>
      <c r="S13" s="6"/>
      <c r="T13" s="6"/>
      <c r="U13" s="6"/>
      <c r="V13" s="6"/>
    </row>
    <row r="14" spans="1:22" x14ac:dyDescent="0.3">
      <c r="A14" s="6"/>
      <c r="B14" s="6"/>
      <c r="C14" s="6"/>
      <c r="D14" s="6"/>
      <c r="E14" s="6"/>
      <c r="F14" s="6"/>
      <c r="G14" s="6"/>
      <c r="H14" s="6"/>
      <c r="I14" s="6"/>
      <c r="J14" s="6"/>
      <c r="K14" s="6"/>
      <c r="L14" s="6"/>
      <c r="M14" s="6"/>
      <c r="N14" s="6"/>
      <c r="O14" s="6"/>
      <c r="P14" s="6"/>
      <c r="Q14" s="6"/>
      <c r="R14" s="6"/>
      <c r="S14" s="6"/>
      <c r="T14" s="6"/>
      <c r="U14" s="6"/>
      <c r="V14" s="6"/>
    </row>
    <row r="15" spans="1:22" x14ac:dyDescent="0.3">
      <c r="A15" s="6"/>
      <c r="B15" s="6"/>
      <c r="C15" s="6"/>
      <c r="D15" s="6"/>
      <c r="E15" s="6"/>
      <c r="F15" s="6"/>
      <c r="G15" s="6"/>
      <c r="H15" s="6"/>
      <c r="I15" s="6"/>
      <c r="J15" s="6"/>
      <c r="K15" s="6"/>
      <c r="L15" s="6"/>
      <c r="M15" s="6"/>
      <c r="N15" s="6"/>
      <c r="O15" s="6"/>
      <c r="P15" s="6"/>
      <c r="Q15" s="6"/>
      <c r="R15" s="6"/>
      <c r="S15" s="6"/>
      <c r="T15" s="6"/>
      <c r="U15" s="6"/>
      <c r="V15" s="6"/>
    </row>
    <row r="16" spans="1:22" x14ac:dyDescent="0.3">
      <c r="A16" s="6"/>
      <c r="B16" s="6"/>
      <c r="C16" s="6"/>
      <c r="D16" s="6"/>
      <c r="E16" s="6"/>
      <c r="F16" s="6"/>
      <c r="G16" s="6"/>
      <c r="H16" s="6"/>
      <c r="I16" s="6"/>
      <c r="J16" s="6"/>
      <c r="K16" s="6"/>
      <c r="L16" s="6"/>
      <c r="M16" s="6"/>
      <c r="N16" s="6"/>
      <c r="O16" s="6"/>
      <c r="P16" s="6"/>
      <c r="Q16" s="6"/>
      <c r="R16" s="6"/>
      <c r="S16" s="6"/>
      <c r="T16" s="6"/>
      <c r="U16" s="6"/>
      <c r="V16" s="6"/>
    </row>
    <row r="17" spans="1:22" x14ac:dyDescent="0.3">
      <c r="A17" s="6"/>
      <c r="B17" s="6"/>
      <c r="C17" s="6"/>
      <c r="D17" s="6"/>
      <c r="E17" s="6"/>
      <c r="F17" s="6"/>
      <c r="G17" s="6"/>
      <c r="H17" s="6"/>
      <c r="I17" s="6"/>
      <c r="J17" s="6"/>
      <c r="K17" s="6"/>
      <c r="L17" s="6"/>
      <c r="M17" s="6"/>
      <c r="N17" s="6"/>
      <c r="O17" s="6"/>
      <c r="P17" s="6"/>
      <c r="Q17" s="6"/>
      <c r="R17" s="6"/>
      <c r="S17" s="6"/>
      <c r="T17" s="6"/>
      <c r="U17" s="6"/>
      <c r="V17" s="6"/>
    </row>
    <row r="18" spans="1:22" x14ac:dyDescent="0.3">
      <c r="A18" s="6"/>
      <c r="B18" s="6"/>
      <c r="C18" s="6"/>
      <c r="D18" s="6"/>
      <c r="E18" s="6"/>
      <c r="F18" s="6"/>
      <c r="G18" s="6"/>
      <c r="H18" s="6"/>
      <c r="I18" s="6"/>
      <c r="J18" s="6"/>
      <c r="K18" s="6"/>
      <c r="L18" s="6"/>
      <c r="M18" s="6"/>
      <c r="N18" s="6"/>
      <c r="O18" s="6"/>
      <c r="P18" s="6"/>
      <c r="Q18" s="6"/>
      <c r="R18" s="6"/>
      <c r="S18" s="6"/>
      <c r="T18" s="6"/>
      <c r="U18" s="6"/>
      <c r="V18" s="6"/>
    </row>
    <row r="19" spans="1:22" x14ac:dyDescent="0.3">
      <c r="A19" s="6"/>
      <c r="B19" s="6"/>
      <c r="C19" s="6"/>
      <c r="D19" s="6"/>
      <c r="E19" s="6"/>
      <c r="F19" s="6"/>
      <c r="G19" s="6"/>
      <c r="H19" s="6"/>
      <c r="I19" s="6"/>
      <c r="J19" s="6"/>
      <c r="K19" s="6"/>
      <c r="L19" s="6"/>
      <c r="M19" s="6"/>
      <c r="N19" s="6"/>
      <c r="O19" s="6"/>
      <c r="P19" s="6"/>
      <c r="Q19" s="6"/>
      <c r="R19" s="6"/>
      <c r="S19" s="6"/>
      <c r="T19" s="6"/>
      <c r="U19" s="6"/>
      <c r="V19" s="6"/>
    </row>
    <row r="20" spans="1:22" x14ac:dyDescent="0.3">
      <c r="A20" s="6"/>
      <c r="B20" s="6"/>
      <c r="C20" s="6"/>
      <c r="D20" s="6"/>
      <c r="E20" s="6"/>
      <c r="F20" s="6"/>
      <c r="G20" s="6"/>
      <c r="H20" s="6"/>
      <c r="I20" s="6"/>
      <c r="J20" s="6"/>
      <c r="K20" s="6"/>
      <c r="L20" s="6"/>
      <c r="M20" s="6"/>
      <c r="N20" s="6"/>
      <c r="O20" s="6"/>
      <c r="P20" s="6"/>
      <c r="Q20" s="6"/>
      <c r="R20" s="6"/>
      <c r="S20" s="6"/>
      <c r="T20" s="6"/>
      <c r="U20" s="6"/>
      <c r="V20" s="6"/>
    </row>
    <row r="21" spans="1:22" x14ac:dyDescent="0.3">
      <c r="A21" s="6"/>
      <c r="B21" s="6"/>
      <c r="C21" s="6"/>
      <c r="D21" s="6"/>
      <c r="E21" s="6"/>
      <c r="F21" s="6"/>
      <c r="G21" s="6"/>
      <c r="H21" s="6"/>
      <c r="I21" s="6"/>
      <c r="J21" s="6"/>
      <c r="K21" s="6"/>
      <c r="L21" s="6"/>
      <c r="M21" s="6"/>
      <c r="N21" s="6"/>
      <c r="O21" s="6"/>
      <c r="P21" s="6"/>
      <c r="Q21" s="6"/>
      <c r="R21" s="6"/>
      <c r="S21" s="6"/>
      <c r="T21" s="6"/>
      <c r="U21" s="6"/>
      <c r="V21" s="6"/>
    </row>
    <row r="22" spans="1:22" x14ac:dyDescent="0.3">
      <c r="A22" s="6"/>
      <c r="B22" s="6"/>
      <c r="C22" s="6"/>
      <c r="D22" s="6"/>
      <c r="E22" s="6"/>
      <c r="F22" s="6"/>
      <c r="G22" s="6"/>
      <c r="H22" s="6"/>
      <c r="I22" s="6"/>
      <c r="J22" s="6"/>
      <c r="K22" s="6"/>
      <c r="L22" s="6"/>
      <c r="M22" s="6"/>
      <c r="N22" s="6"/>
      <c r="O22" s="6"/>
      <c r="P22" s="6"/>
      <c r="Q22" s="6"/>
      <c r="R22" s="6"/>
      <c r="S22" s="6"/>
      <c r="T22" s="6"/>
      <c r="U22" s="6"/>
      <c r="V22" s="6"/>
    </row>
    <row r="23" spans="1:22" x14ac:dyDescent="0.3">
      <c r="A23" s="6"/>
      <c r="B23" s="6"/>
      <c r="C23" s="6"/>
      <c r="D23" s="6"/>
      <c r="E23" s="6"/>
      <c r="F23" s="6"/>
      <c r="G23" s="6"/>
      <c r="H23" s="6"/>
      <c r="I23" s="6"/>
      <c r="J23" s="6"/>
      <c r="K23" s="6"/>
      <c r="L23" s="6"/>
      <c r="M23" s="6"/>
      <c r="N23" s="6"/>
      <c r="O23" s="6"/>
      <c r="P23" s="6"/>
      <c r="Q23" s="6"/>
      <c r="R23" s="6"/>
      <c r="S23" s="6"/>
      <c r="T23" s="6"/>
      <c r="U23" s="6"/>
      <c r="V23" s="6"/>
    </row>
    <row r="24" spans="1:22" x14ac:dyDescent="0.3">
      <c r="A24" s="6"/>
      <c r="B24" s="6"/>
      <c r="C24" s="6"/>
      <c r="D24" s="6"/>
      <c r="E24" s="6"/>
      <c r="F24" s="6"/>
      <c r="G24" s="6"/>
      <c r="H24" s="6"/>
      <c r="I24" s="6"/>
      <c r="J24" s="6"/>
      <c r="K24" s="6"/>
      <c r="L24" s="6"/>
      <c r="M24" s="6"/>
      <c r="N24" s="6"/>
      <c r="O24" s="6"/>
      <c r="P24" s="6"/>
      <c r="Q24" s="6"/>
      <c r="R24" s="6"/>
      <c r="S24" s="6"/>
      <c r="T24" s="6"/>
      <c r="U24" s="6"/>
      <c r="V24" s="6"/>
    </row>
    <row r="25" spans="1:22" x14ac:dyDescent="0.3">
      <c r="A25" s="6"/>
      <c r="B25" s="6"/>
      <c r="C25" s="6"/>
      <c r="D25" s="6"/>
      <c r="E25" s="6"/>
      <c r="F25" s="6"/>
      <c r="G25" s="6"/>
      <c r="H25" s="6"/>
      <c r="I25" s="6"/>
      <c r="J25" s="6"/>
      <c r="K25" s="6"/>
      <c r="L25" s="6"/>
      <c r="M25" s="6"/>
      <c r="N25" s="6"/>
      <c r="O25" s="6"/>
      <c r="P25" s="6"/>
      <c r="Q25" s="6"/>
      <c r="R25" s="6"/>
      <c r="S25" s="6"/>
      <c r="T25" s="6"/>
      <c r="U25" s="6"/>
      <c r="V25" s="6"/>
    </row>
    <row r="26" spans="1:22" x14ac:dyDescent="0.3">
      <c r="A26" s="6"/>
      <c r="B26" s="6"/>
      <c r="C26" s="6"/>
      <c r="D26" s="6"/>
      <c r="E26" s="6"/>
      <c r="F26" s="6"/>
      <c r="G26" s="6"/>
      <c r="H26" s="6"/>
      <c r="I26" s="6"/>
      <c r="J26" s="6"/>
      <c r="K26" s="6"/>
      <c r="L26" s="6"/>
      <c r="M26" s="6"/>
      <c r="N26" s="6"/>
      <c r="O26" s="6"/>
      <c r="P26" s="6"/>
      <c r="Q26" s="6"/>
      <c r="R26" s="6"/>
      <c r="S26" s="6"/>
      <c r="T26" s="6"/>
      <c r="U26" s="6"/>
      <c r="V26" s="6"/>
    </row>
    <row r="27" spans="1:22" x14ac:dyDescent="0.3">
      <c r="A27" s="6"/>
      <c r="B27" s="6"/>
      <c r="C27" s="6"/>
      <c r="D27" s="6"/>
      <c r="E27" s="6"/>
      <c r="F27" s="6"/>
      <c r="G27" s="6"/>
      <c r="H27" s="6"/>
      <c r="I27" s="6"/>
      <c r="J27" s="6"/>
      <c r="K27" s="6"/>
      <c r="L27" s="6"/>
      <c r="M27" s="6"/>
      <c r="N27" s="6"/>
      <c r="O27" s="6"/>
      <c r="P27" s="6"/>
      <c r="Q27" s="6"/>
      <c r="R27" s="6"/>
      <c r="S27" s="6"/>
      <c r="T27" s="6"/>
      <c r="U27" s="6"/>
      <c r="V27" s="6"/>
    </row>
    <row r="28" spans="1:22" x14ac:dyDescent="0.3">
      <c r="A28" s="6"/>
      <c r="B28" s="6"/>
      <c r="C28" s="6"/>
      <c r="D28" s="6"/>
      <c r="E28" s="6"/>
      <c r="F28" s="6"/>
      <c r="G28" s="6"/>
      <c r="H28" s="6"/>
      <c r="I28" s="6"/>
      <c r="J28" s="6"/>
      <c r="K28" s="6"/>
      <c r="L28" s="6"/>
      <c r="M28" s="6"/>
      <c r="N28" s="6"/>
      <c r="O28" s="6"/>
      <c r="P28" s="6"/>
      <c r="Q28" s="6"/>
      <c r="R28" s="6"/>
      <c r="S28" s="6"/>
      <c r="T28" s="6"/>
      <c r="U28" s="6"/>
      <c r="V28" s="6"/>
    </row>
    <row r="29" spans="1:22" ht="23.4" x14ac:dyDescent="0.45">
      <c r="A29" s="6"/>
      <c r="B29" s="6"/>
      <c r="C29" s="6"/>
      <c r="D29" s="6"/>
      <c r="E29" s="7" t="s">
        <v>9</v>
      </c>
      <c r="F29" s="7"/>
      <c r="G29" s="10"/>
      <c r="H29" s="7"/>
      <c r="I29" s="7"/>
      <c r="J29" s="7"/>
      <c r="K29" s="6"/>
      <c r="L29" s="6"/>
      <c r="M29" s="6"/>
      <c r="N29" s="6"/>
      <c r="O29" s="6"/>
      <c r="P29" s="6"/>
      <c r="Q29" s="6"/>
      <c r="R29" s="6"/>
      <c r="S29" s="6"/>
      <c r="T29" s="6"/>
      <c r="U29" s="6"/>
      <c r="V29" s="6"/>
    </row>
    <row r="30" spans="1:22" x14ac:dyDescent="0.3">
      <c r="A30" s="6"/>
      <c r="B30" s="6"/>
      <c r="C30" s="6"/>
      <c r="D30" s="6"/>
      <c r="E30" s="6"/>
      <c r="F30" s="6"/>
      <c r="G30" s="6"/>
      <c r="H30" s="6"/>
      <c r="I30" s="6"/>
      <c r="J30" s="6"/>
      <c r="K30" s="6"/>
      <c r="L30" s="6"/>
      <c r="M30" s="6"/>
      <c r="N30" s="6"/>
      <c r="O30" s="6"/>
      <c r="P30" s="6"/>
      <c r="Q30" s="6"/>
      <c r="R30" s="6"/>
      <c r="S30" s="6"/>
      <c r="T30" s="6"/>
      <c r="U30" s="6"/>
      <c r="V30" s="6"/>
    </row>
    <row r="31" spans="1:22" x14ac:dyDescent="0.3">
      <c r="A31" s="6"/>
      <c r="B31" s="6"/>
      <c r="C31" s="6"/>
      <c r="D31" s="6"/>
      <c r="E31" s="6"/>
      <c r="F31" s="6"/>
      <c r="G31" s="6"/>
      <c r="H31" s="6"/>
      <c r="I31" s="6"/>
      <c r="J31" s="6"/>
      <c r="K31" s="6"/>
      <c r="L31" s="6"/>
      <c r="M31" s="6"/>
      <c r="N31" s="6"/>
      <c r="O31" s="6"/>
      <c r="P31" s="6"/>
      <c r="Q31" s="6"/>
      <c r="R31" s="6"/>
      <c r="S31" s="6"/>
      <c r="T31" s="6"/>
      <c r="U31" s="6"/>
      <c r="V31" s="6"/>
    </row>
    <row r="32" spans="1:22" x14ac:dyDescent="0.3">
      <c r="A32" s="6"/>
      <c r="B32" s="6"/>
      <c r="C32" s="6"/>
      <c r="D32" s="6"/>
      <c r="E32" s="6"/>
      <c r="F32" s="6"/>
      <c r="G32" s="6"/>
      <c r="H32" s="6"/>
      <c r="I32" s="6"/>
      <c r="J32" s="6"/>
      <c r="K32" s="6"/>
      <c r="L32" s="6"/>
      <c r="M32" s="6"/>
      <c r="N32" s="6"/>
      <c r="O32" s="6"/>
      <c r="P32" s="6"/>
      <c r="Q32" s="6"/>
      <c r="R32" s="6"/>
      <c r="S32" s="6"/>
      <c r="T32" s="6"/>
      <c r="U32" s="6"/>
      <c r="V32" s="6"/>
    </row>
    <row r="33" spans="1:22" x14ac:dyDescent="0.3">
      <c r="A33" s="6"/>
      <c r="B33" s="6"/>
      <c r="C33" s="6"/>
      <c r="D33" s="6"/>
      <c r="E33" s="6"/>
      <c r="F33" s="6"/>
      <c r="G33" s="6"/>
      <c r="H33" s="6"/>
      <c r="I33" s="6"/>
      <c r="J33" s="6"/>
      <c r="K33" s="6"/>
      <c r="L33" s="6"/>
      <c r="M33" s="6"/>
      <c r="N33" s="6"/>
      <c r="O33" s="6"/>
      <c r="P33" s="6"/>
      <c r="Q33" s="6"/>
      <c r="R33" s="6"/>
      <c r="S33" s="6"/>
      <c r="T33" s="6"/>
      <c r="U33" s="6"/>
      <c r="V33" s="6"/>
    </row>
    <row r="34" spans="1:22" x14ac:dyDescent="0.3">
      <c r="A34" s="6"/>
      <c r="B34" s="6"/>
      <c r="C34" s="6"/>
      <c r="D34" s="6"/>
      <c r="E34" s="6"/>
      <c r="F34" s="6"/>
      <c r="G34" s="6"/>
      <c r="H34" s="6"/>
      <c r="I34" s="6"/>
      <c r="J34" s="6"/>
      <c r="K34" s="6"/>
      <c r="L34" s="6"/>
      <c r="M34" s="6"/>
      <c r="N34" s="6"/>
      <c r="O34" s="6"/>
      <c r="P34" s="6"/>
      <c r="Q34" s="6"/>
      <c r="R34" s="6"/>
      <c r="S34" s="6"/>
      <c r="T34" s="6"/>
      <c r="U34" s="6"/>
      <c r="V34"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BD2B17F-D737-4072-B27A-575CEC00C44B}">
  <ds:schemaRefs>
    <ds:schemaRef ds:uri="http://schemas.microsoft.com/DataMashup"/>
  </ds:schemaRefs>
</ds:datastoreItem>
</file>

<file path=customXml/itemProps2.xml><?xml version="1.0" encoding="utf-8"?>
<ds:datastoreItem xmlns:ds="http://schemas.openxmlformats.org/officeDocument/2006/customXml" ds:itemID="{16E4629D-7019-47C6-9B1D-51658917E5A1}">
  <ds:schemaRefs/>
</ds:datastoreItem>
</file>

<file path=customXml/itemProps3.xml><?xml version="1.0" encoding="utf-8"?>
<ds:datastoreItem xmlns:ds="http://schemas.openxmlformats.org/officeDocument/2006/customXml" ds:itemID="{C226FE1F-335C-4E72-B0AA-729812ACE2B4}">
  <ds:schemaRefs/>
</ds:datastoreItem>
</file>

<file path=customXml/itemProps4.xml><?xml version="1.0" encoding="utf-8"?>
<ds:datastoreItem xmlns:ds="http://schemas.openxmlformats.org/officeDocument/2006/customXml" ds:itemID="{603FA2FC-D54F-465A-BBA3-5443CE0333AB}">
  <ds:schemaRefs/>
</ds:datastoreItem>
</file>

<file path=customXml/itemProps5.xml><?xml version="1.0" encoding="utf-8"?>
<ds:datastoreItem xmlns:ds="http://schemas.openxmlformats.org/officeDocument/2006/customXml" ds:itemID="{CA7B3F10-44C9-4F51-833D-1DAF3BAD9C05}">
  <ds:schemaRefs/>
</ds:datastoreItem>
</file>

<file path=customXml/itemProps6.xml><?xml version="1.0" encoding="utf-8"?>
<ds:datastoreItem xmlns:ds="http://schemas.openxmlformats.org/officeDocument/2006/customXml" ds:itemID="{C77C7D56-E5F0-424C-91C8-A079AD870ECA}">
  <ds:schemaRefs/>
</ds:datastoreItem>
</file>

<file path=customXml/itemProps7.xml><?xml version="1.0" encoding="utf-8"?>
<ds:datastoreItem xmlns:ds="http://schemas.openxmlformats.org/officeDocument/2006/customXml" ds:itemID="{DC71764A-12AF-4E52-81C4-248095F4AA86}">
  <ds:schemaRefs/>
</ds:datastoreItem>
</file>

<file path=customXml/itemProps8.xml><?xml version="1.0" encoding="utf-8"?>
<ds:datastoreItem xmlns:ds="http://schemas.openxmlformats.org/officeDocument/2006/customXml" ds:itemID="{8E2CC9AF-7A34-43CD-8222-AEF943F9DFF5}">
  <ds:schemaRefs/>
</ds:datastoreItem>
</file>

<file path=customXml/itemProps9.xml><?xml version="1.0" encoding="utf-8"?>
<ds:datastoreItem xmlns:ds="http://schemas.openxmlformats.org/officeDocument/2006/customXml" ds:itemID="{B0191CEB-7295-4923-88E8-E3007BCB3720}">
  <ds:schemaRefs/>
</ds:datastoreItem>
</file>

<file path=customXml/itemProps10.xml><?xml version="1.0" encoding="utf-8"?>
<ds:datastoreItem xmlns:ds="http://schemas.openxmlformats.org/officeDocument/2006/customXml" ds:itemID="{82F28BBE-E067-452F-BC26-BC3CFD867F0C}">
  <ds:schemaRefs/>
</ds:datastoreItem>
</file>

<file path=customXml/itemProps11.xml><?xml version="1.0" encoding="utf-8"?>
<ds:datastoreItem xmlns:ds="http://schemas.openxmlformats.org/officeDocument/2006/customXml" ds:itemID="{9594B8B9-6E81-4408-A764-B82B48B0919C}">
  <ds:schemaRefs/>
</ds:datastoreItem>
</file>

<file path=customXml/itemProps12.xml><?xml version="1.0" encoding="utf-8"?>
<ds:datastoreItem xmlns:ds="http://schemas.openxmlformats.org/officeDocument/2006/customXml" ds:itemID="{5049E322-4818-4663-9A44-D457B456297C}">
  <ds:schemaRefs/>
</ds:datastoreItem>
</file>

<file path=customXml/itemProps13.xml><?xml version="1.0" encoding="utf-8"?>
<ds:datastoreItem xmlns:ds="http://schemas.openxmlformats.org/officeDocument/2006/customXml" ds:itemID="{352A7EA5-8F73-442D-A4B7-16A98F0BB2E0}">
  <ds:schemaRefs/>
</ds:datastoreItem>
</file>

<file path=customXml/itemProps14.xml><?xml version="1.0" encoding="utf-8"?>
<ds:datastoreItem xmlns:ds="http://schemas.openxmlformats.org/officeDocument/2006/customXml" ds:itemID="{98F89B16-9B9F-441A-947A-E85EAD687CF9}">
  <ds:schemaRefs/>
</ds:datastoreItem>
</file>

<file path=customXml/itemProps15.xml><?xml version="1.0" encoding="utf-8"?>
<ds:datastoreItem xmlns:ds="http://schemas.openxmlformats.org/officeDocument/2006/customXml" ds:itemID="{57E47964-DCB8-4B9D-AFD6-DB10E145658F}">
  <ds:schemaRefs/>
</ds:datastoreItem>
</file>

<file path=customXml/itemProps16.xml><?xml version="1.0" encoding="utf-8"?>
<ds:datastoreItem xmlns:ds="http://schemas.openxmlformats.org/officeDocument/2006/customXml" ds:itemID="{4B1056C1-9BE3-4A63-A180-9579D9975078}">
  <ds:schemaRefs/>
</ds:datastoreItem>
</file>

<file path=customXml/itemProps17.xml><?xml version="1.0" encoding="utf-8"?>
<ds:datastoreItem xmlns:ds="http://schemas.openxmlformats.org/officeDocument/2006/customXml" ds:itemID="{83D3A422-504C-4A52-9FCC-DA52D7AF5A28}">
  <ds:schemaRefs/>
</ds:datastoreItem>
</file>

<file path=customXml/itemProps18.xml><?xml version="1.0" encoding="utf-8"?>
<ds:datastoreItem xmlns:ds="http://schemas.openxmlformats.org/officeDocument/2006/customXml" ds:itemID="{9B1BA376-15A9-40A8-81FC-3591A4EC9C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Daily ER Patient Wait Time</vt:lpstr>
      <vt:lpstr>Daily Patient Satisfaction Scor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2025-10-25T17:04:42Z</dcterms:created>
  <dcterms:modified xsi:type="dcterms:W3CDTF">2025-11-02T10:01:22Z</dcterms:modified>
</cp:coreProperties>
</file>